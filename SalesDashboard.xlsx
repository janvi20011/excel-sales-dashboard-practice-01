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janv\Downloads\"/>
    </mc:Choice>
  </mc:AlternateContent>
  <xr:revisionPtr revIDLastSave="0" documentId="8_{7B7E1793-003D-45FF-A591-D85D94F85996}" xr6:coauthVersionLast="47" xr6:coauthVersionMax="47" xr10:uidLastSave="{00000000-0000-0000-0000-000000000000}"/>
  <bookViews>
    <workbookView xWindow="-108" yWindow="-108" windowWidth="23256" windowHeight="13176" xr2:uid="{C9F78AD3-62FA-438B-AFB0-F615FDB23A8A}"/>
  </bookViews>
  <sheets>
    <sheet name="Data" sheetId="1" r:id="rId1"/>
    <sheet name="Dashboard" sheetId="5" r:id="rId2"/>
    <sheet name="KPIS&amp;Questions" sheetId="3" r:id="rId3"/>
    <sheet name="Trends" sheetId="2" r:id="rId4"/>
    <sheet name="graph3" sheetId="9" r:id="rId5"/>
    <sheet name="productbyquantity" sheetId="10" r:id="rId6"/>
    <sheet name="Sheet1" sheetId="15" r:id="rId7"/>
    <sheet name="Sheet4" sheetId="16" r:id="rId8"/>
    <sheet name="heatmaps" sheetId="20" r:id="rId9"/>
    <sheet name="Sheet5" sheetId="21" r:id="rId10"/>
    <sheet name="Sheet7" sheetId="24" r:id="rId11"/>
  </sheets>
  <definedNames>
    <definedName name="_xlchart.v5.0" hidden="1">Sheet4!$O$3:$P$3</definedName>
    <definedName name="_xlchart.v5.1" hidden="1">Sheet4!$O$4:$P$61</definedName>
    <definedName name="_xlchart.v5.2" hidden="1">Sheet4!$Q$3</definedName>
    <definedName name="_xlchart.v5.3" hidden="1">Sheet4!$Q$4:$Q$61</definedName>
    <definedName name="_xlchart.v5.4" hidden="1">Sheet4!$F$3:$G$3</definedName>
    <definedName name="_xlchart.v5.5" hidden="1">Sheet4!$F$4:$G$61</definedName>
    <definedName name="_xlchart.v5.6" hidden="1">Sheet4!$H$3</definedName>
    <definedName name="_xlchart.v5.7" hidden="1">Sheet4!$H$4:$H$61</definedName>
    <definedName name="Slicer_Gender_Value">#N/A</definedName>
    <definedName name="Slicer_Order_Mode">#N/A</definedName>
  </definedNames>
  <calcPr calcId="191029"/>
  <pivotCaches>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16" l="1"/>
  <c r="Q4" i="16"/>
  <c r="P5" i="16"/>
  <c r="Q5" i="16"/>
  <c r="P6" i="16"/>
  <c r="Q6" i="16"/>
  <c r="P7" i="16"/>
  <c r="Q7" i="16"/>
  <c r="P8" i="16"/>
  <c r="Q8" i="16"/>
  <c r="P9" i="16"/>
  <c r="Q9" i="16"/>
  <c r="P10" i="16"/>
  <c r="Q10" i="16"/>
  <c r="P11" i="16"/>
  <c r="Q11" i="16"/>
  <c r="P12" i="16"/>
  <c r="Q12" i="16"/>
  <c r="P13" i="16"/>
  <c r="Q13" i="16"/>
  <c r="P14" i="16"/>
  <c r="Q14" i="16"/>
  <c r="P15" i="16"/>
  <c r="Q15" i="16"/>
  <c r="P16" i="16"/>
  <c r="Q16" i="16"/>
  <c r="P17" i="16"/>
  <c r="Q17" i="16"/>
  <c r="P18" i="16"/>
  <c r="Q18" i="16"/>
  <c r="P19" i="16"/>
  <c r="Q19" i="16"/>
  <c r="P20" i="16"/>
  <c r="Q20" i="16"/>
  <c r="P21" i="16"/>
  <c r="Q21" i="16"/>
  <c r="P22" i="16"/>
  <c r="Q22" i="16"/>
  <c r="P23" i="16"/>
  <c r="Q23" i="16"/>
  <c r="P24" i="16"/>
  <c r="Q24" i="16"/>
  <c r="P25" i="16"/>
  <c r="Q25" i="16"/>
  <c r="P26" i="16"/>
  <c r="Q26" i="16"/>
  <c r="P27" i="16"/>
  <c r="Q27" i="16"/>
  <c r="P28" i="16"/>
  <c r="Q28" i="16"/>
  <c r="P29" i="16"/>
  <c r="Q29" i="16"/>
  <c r="P30" i="16"/>
  <c r="Q30" i="16"/>
  <c r="P31" i="16"/>
  <c r="Q31" i="16"/>
  <c r="P32" i="16"/>
  <c r="Q32" i="16"/>
  <c r="P33" i="16"/>
  <c r="Q33" i="16"/>
  <c r="P34" i="16"/>
  <c r="Q34" i="16"/>
  <c r="P35" i="16"/>
  <c r="Q35" i="16"/>
  <c r="P36" i="16"/>
  <c r="Q36" i="16"/>
  <c r="P37" i="16"/>
  <c r="Q37" i="16"/>
  <c r="P38" i="16"/>
  <c r="Q38" i="16"/>
  <c r="P39" i="16"/>
  <c r="Q39" i="16"/>
  <c r="P40" i="16"/>
  <c r="Q40" i="16"/>
  <c r="P41" i="16"/>
  <c r="Q41" i="16"/>
  <c r="P42" i="16"/>
  <c r="Q42" i="16"/>
  <c r="P43" i="16"/>
  <c r="Q43" i="16"/>
  <c r="P44" i="16"/>
  <c r="Q44" i="16"/>
  <c r="P45" i="16"/>
  <c r="Q45" i="16"/>
  <c r="P46" i="16"/>
  <c r="Q46" i="16"/>
  <c r="P47" i="16"/>
  <c r="Q47" i="16"/>
  <c r="P48" i="16"/>
  <c r="Q48" i="16"/>
  <c r="P49" i="16"/>
  <c r="Q49" i="16"/>
  <c r="P50" i="16"/>
  <c r="Q50" i="16"/>
  <c r="P51" i="16"/>
  <c r="Q51" i="16"/>
  <c r="P52" i="16"/>
  <c r="Q52" i="16"/>
  <c r="P53" i="16"/>
  <c r="Q53" i="16"/>
  <c r="P54" i="16"/>
  <c r="Q54" i="16"/>
  <c r="P55" i="16"/>
  <c r="Q55" i="16"/>
  <c r="P56" i="16"/>
  <c r="Q56" i="16"/>
  <c r="P57" i="16"/>
  <c r="Q57" i="16"/>
  <c r="P58" i="16"/>
  <c r="Q58" i="16"/>
  <c r="P59" i="16"/>
  <c r="Q59" i="16"/>
  <c r="P60" i="16"/>
  <c r="Q60" i="16"/>
  <c r="P61" i="16"/>
  <c r="Q61"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4" i="16"/>
  <c r="G4" i="16"/>
  <c r="H4" i="16"/>
  <c r="G5" i="16"/>
  <c r="H5" i="16"/>
  <c r="G6" i="16"/>
  <c r="H6" i="16"/>
  <c r="G7" i="16"/>
  <c r="H7" i="16"/>
  <c r="G8" i="16"/>
  <c r="H8" i="16"/>
  <c r="G9" i="16"/>
  <c r="H9" i="16"/>
  <c r="G10" i="16"/>
  <c r="H10" i="16"/>
  <c r="G11" i="16"/>
  <c r="H11" i="16"/>
  <c r="G12" i="16"/>
  <c r="H12" i="16"/>
  <c r="G13" i="16"/>
  <c r="H13" i="16"/>
  <c r="G14" i="16"/>
  <c r="H14" i="16"/>
  <c r="G15" i="16"/>
  <c r="H15" i="16"/>
  <c r="G16" i="16"/>
  <c r="H16" i="16"/>
  <c r="G17" i="16"/>
  <c r="H17" i="16"/>
  <c r="G18" i="16"/>
  <c r="H18" i="16"/>
  <c r="G19" i="16"/>
  <c r="H19" i="16"/>
  <c r="G20" i="16"/>
  <c r="H20" i="16"/>
  <c r="G21" i="16"/>
  <c r="H21" i="16"/>
  <c r="G22" i="16"/>
  <c r="H22" i="16"/>
  <c r="G23" i="16"/>
  <c r="H23" i="16"/>
  <c r="G24" i="16"/>
  <c r="H24" i="16"/>
  <c r="G25" i="16"/>
  <c r="H25" i="16"/>
  <c r="G26" i="16"/>
  <c r="H26" i="16"/>
  <c r="G27" i="16"/>
  <c r="H27" i="16"/>
  <c r="G28" i="16"/>
  <c r="H28" i="16"/>
  <c r="G29" i="16"/>
  <c r="H29" i="16"/>
  <c r="G30" i="16"/>
  <c r="H30" i="16"/>
  <c r="G31" i="16"/>
  <c r="H31" i="16"/>
  <c r="G32" i="16"/>
  <c r="H32" i="16"/>
  <c r="G33" i="16"/>
  <c r="H33" i="16"/>
  <c r="G34" i="16"/>
  <c r="H34" i="16"/>
  <c r="G35" i="16"/>
  <c r="H35" i="16"/>
  <c r="G36" i="16"/>
  <c r="H36" i="16"/>
  <c r="G37" i="16"/>
  <c r="H37" i="16"/>
  <c r="G38" i="16"/>
  <c r="H38" i="16"/>
  <c r="G39" i="16"/>
  <c r="H39" i="16"/>
  <c r="G40" i="16"/>
  <c r="H40" i="16"/>
  <c r="G41" i="16"/>
  <c r="H41" i="16"/>
  <c r="G42" i="16"/>
  <c r="H42" i="16"/>
  <c r="G43" i="16"/>
  <c r="H43" i="16"/>
  <c r="G44" i="16"/>
  <c r="H44" i="16"/>
  <c r="G45" i="16"/>
  <c r="H45" i="16"/>
  <c r="G46" i="16"/>
  <c r="H46" i="16"/>
  <c r="G47" i="16"/>
  <c r="H47" i="16"/>
  <c r="G48" i="16"/>
  <c r="H48" i="16"/>
  <c r="G49" i="16"/>
  <c r="H49" i="16"/>
  <c r="G50" i="16"/>
  <c r="H50" i="16"/>
  <c r="G51" i="16"/>
  <c r="H51" i="16"/>
  <c r="G52" i="16"/>
  <c r="H52" i="16"/>
  <c r="G53" i="16"/>
  <c r="H53" i="16"/>
  <c r="G54" i="16"/>
  <c r="H54" i="16"/>
  <c r="G55" i="16"/>
  <c r="H55" i="16"/>
  <c r="G56" i="16"/>
  <c r="H56" i="16"/>
  <c r="G57" i="16"/>
  <c r="H57" i="16"/>
  <c r="G58" i="16"/>
  <c r="H58" i="16"/>
  <c r="G59" i="16"/>
  <c r="H59" i="16"/>
  <c r="G60" i="16"/>
  <c r="H60" i="16"/>
  <c r="G61" i="16"/>
  <c r="H61"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4" i="16"/>
  <c r="J4" i="20"/>
  <c r="K4" i="20"/>
  <c r="L4" i="20"/>
  <c r="I4" i="20"/>
  <c r="H6" i="20"/>
  <c r="I6" i="20"/>
  <c r="J6" i="20"/>
  <c r="K6" i="20"/>
  <c r="L6" i="20"/>
  <c r="H7" i="20"/>
  <c r="I7" i="20"/>
  <c r="J7" i="20"/>
  <c r="K7" i="20"/>
  <c r="L7" i="20"/>
  <c r="H8" i="20"/>
  <c r="I8" i="20"/>
  <c r="J8" i="20"/>
  <c r="K8" i="20"/>
  <c r="L8" i="20"/>
  <c r="H9" i="20"/>
  <c r="I9" i="20"/>
  <c r="J9" i="20"/>
  <c r="K9" i="20"/>
  <c r="L9" i="20"/>
  <c r="I5" i="20"/>
  <c r="J5" i="20"/>
  <c r="K5" i="20"/>
  <c r="L5" i="20"/>
  <c r="H5" i="20"/>
  <c r="O3" i="16"/>
  <c r="P3" i="16"/>
  <c r="Q3" i="16"/>
  <c r="F3" i="16"/>
  <c r="G3" i="16"/>
  <c r="H3" i="16"/>
  <c r="I5" i="2"/>
  <c r="K5" i="2"/>
  <c r="J5" i="2"/>
  <c r="H5" i="2"/>
  <c r="G5" i="2"/>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c r="O2391" i="1" a="1"/>
  <c r="N2391" i="1"/>
  <c r="M2391" i="1"/>
  <c r="O2390" i="1" a="1"/>
  <c r="O2390" i="1" s="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c r="O2382" i="1" a="1"/>
  <c r="N2382" i="1"/>
  <c r="M2382" i="1"/>
  <c r="O2381" i="1"/>
  <c r="O2381" i="1" a="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c r="O2375" i="1" a="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c r="O2367" i="1" a="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a="1"/>
  <c r="O2356" i="1" s="1"/>
  <c r="N2356" i="1"/>
  <c r="M2356" i="1"/>
  <c r="O2355" i="1"/>
  <c r="O2355" i="1" a="1"/>
  <c r="N2355" i="1"/>
  <c r="M2355" i="1"/>
  <c r="O2354" i="1"/>
  <c r="O2354" i="1" a="1"/>
  <c r="N2354" i="1"/>
  <c r="M2354" i="1"/>
  <c r="O2353" i="1" a="1"/>
  <c r="O2353" i="1" s="1"/>
  <c r="N2353" i="1"/>
  <c r="M2353" i="1"/>
  <c r="O2352" i="1" a="1"/>
  <c r="O2352" i="1" s="1"/>
  <c r="N2352" i="1"/>
  <c r="M2352" i="1"/>
  <c r="O2351" i="1"/>
  <c r="O2351" i="1" a="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c r="O2345" i="1" a="1"/>
  <c r="N2345" i="1"/>
  <c r="M2345" i="1"/>
  <c r="O2344" i="1" a="1"/>
  <c r="O2344" i="1" s="1"/>
  <c r="N2344" i="1"/>
  <c r="M2344" i="1"/>
  <c r="O2343" i="1" a="1"/>
  <c r="O2343" i="1" s="1"/>
  <c r="N2343" i="1"/>
  <c r="M2343" i="1"/>
  <c r="O2342" i="1"/>
  <c r="O2342" i="1" a="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c r="O2331" i="1" a="1"/>
  <c r="N2331" i="1"/>
  <c r="M2331" i="1"/>
  <c r="O2330" i="1" a="1"/>
  <c r="O2330" i="1" s="1"/>
  <c r="N2330" i="1"/>
  <c r="M2330" i="1"/>
  <c r="O2329" i="1" a="1"/>
  <c r="O2329" i="1" s="1"/>
  <c r="N2329" i="1"/>
  <c r="M2329" i="1"/>
  <c r="O2328" i="1"/>
  <c r="O2328" i="1" a="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c r="O2322" i="1" a="1"/>
  <c r="N2322" i="1"/>
  <c r="M2322" i="1"/>
  <c r="O2321" i="1" a="1"/>
  <c r="O2321" i="1" s="1"/>
  <c r="N2321" i="1"/>
  <c r="M2321" i="1"/>
  <c r="O2320" i="1" a="1"/>
  <c r="O2320" i="1" s="1"/>
  <c r="N2320" i="1"/>
  <c r="M2320" i="1"/>
  <c r="O2319" i="1"/>
  <c r="O2319" i="1" a="1"/>
  <c r="N2319" i="1"/>
  <c r="M2319" i="1"/>
  <c r="O2318" i="1"/>
  <c r="O2318" i="1" a="1"/>
  <c r="N2318" i="1"/>
  <c r="M2318" i="1"/>
  <c r="O2317" i="1" a="1"/>
  <c r="O2317" i="1" s="1"/>
  <c r="N2317" i="1"/>
  <c r="M2317" i="1"/>
  <c r="O2316" i="1" a="1"/>
  <c r="O2316" i="1" s="1"/>
  <c r="N2316" i="1"/>
  <c r="M2316" i="1"/>
  <c r="O2315" i="1"/>
  <c r="O2315" i="1" a="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c r="O2309" i="1" a="1"/>
  <c r="N2309" i="1"/>
  <c r="M2309" i="1"/>
  <c r="O2308" i="1" a="1"/>
  <c r="O2308" i="1" s="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c r="O2301" i="1" a="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c r="O2295" i="1" a="1"/>
  <c r="N2295" i="1"/>
  <c r="M2295" i="1"/>
  <c r="O2294" i="1" a="1"/>
  <c r="O2294" i="1" s="1"/>
  <c r="N2294" i="1"/>
  <c r="M2294" i="1"/>
  <c r="O2293" i="1" a="1"/>
  <c r="O2293" i="1" s="1"/>
  <c r="N2293" i="1"/>
  <c r="M2293" i="1"/>
  <c r="O2292" i="1"/>
  <c r="O2292" i="1" a="1"/>
  <c r="N2292" i="1"/>
  <c r="M2292" i="1"/>
  <c r="O2291" i="1" a="1"/>
  <c r="O2291" i="1" s="1"/>
  <c r="N2291" i="1"/>
  <c r="M2291" i="1"/>
  <c r="O2290" i="1" a="1"/>
  <c r="O2290" i="1" s="1"/>
  <c r="N2290" i="1"/>
  <c r="M2290" i="1"/>
  <c r="O2289" i="1" a="1"/>
  <c r="O2289" i="1" s="1"/>
  <c r="N2289" i="1"/>
  <c r="M2289" i="1"/>
  <c r="O2288" i="1"/>
  <c r="O2288" i="1" a="1"/>
  <c r="N2288" i="1"/>
  <c r="M2288" i="1"/>
  <c r="O2287" i="1" a="1"/>
  <c r="O2287" i="1" s="1"/>
  <c r="N2287" i="1"/>
  <c r="M2287" i="1"/>
  <c r="O2286" i="1"/>
  <c r="O2286" i="1" a="1"/>
  <c r="N2286" i="1"/>
  <c r="M2286" i="1"/>
  <c r="O2285" i="1" a="1"/>
  <c r="O2285" i="1" s="1"/>
  <c r="N2285" i="1"/>
  <c r="M2285" i="1"/>
  <c r="O2284" i="1" a="1"/>
  <c r="O2284" i="1" s="1"/>
  <c r="N2284" i="1"/>
  <c r="M2284" i="1"/>
  <c r="O2283" i="1"/>
  <c r="O2283" i="1" a="1"/>
  <c r="N2283" i="1"/>
  <c r="M2283" i="1"/>
  <c r="O2282" i="1"/>
  <c r="O2282" i="1" a="1"/>
  <c r="N2282" i="1"/>
  <c r="M2282" i="1"/>
  <c r="O2281" i="1" a="1"/>
  <c r="O2281" i="1" s="1"/>
  <c r="N2281" i="1"/>
  <c r="M2281" i="1"/>
  <c r="O2280" i="1" a="1"/>
  <c r="O2280" i="1" s="1"/>
  <c r="N2280" i="1"/>
  <c r="M2280" i="1"/>
  <c r="O2279" i="1"/>
  <c r="O2279" i="1" a="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c r="O2273" i="1" a="1"/>
  <c r="N2273" i="1"/>
  <c r="M2273" i="1"/>
  <c r="O2272" i="1" a="1"/>
  <c r="O2272" i="1" s="1"/>
  <c r="N2272" i="1"/>
  <c r="M2272" i="1"/>
  <c r="O2271" i="1" a="1"/>
  <c r="O2271" i="1" s="1"/>
  <c r="N2271" i="1"/>
  <c r="M2271" i="1"/>
  <c r="O2270" i="1"/>
  <c r="O2270" i="1" a="1"/>
  <c r="N2270" i="1"/>
  <c r="M2270" i="1"/>
  <c r="O2269" i="1" a="1"/>
  <c r="O2269" i="1" s="1"/>
  <c r="N2269" i="1"/>
  <c r="M2269" i="1"/>
  <c r="O2268" i="1" a="1"/>
  <c r="O2268" i="1" s="1"/>
  <c r="N2268" i="1"/>
  <c r="M2268" i="1"/>
  <c r="O2267" i="1" a="1"/>
  <c r="O2267" i="1" s="1"/>
  <c r="N2267" i="1"/>
  <c r="M2267" i="1"/>
  <c r="O2266" i="1" a="1"/>
  <c r="O2266" i="1" s="1"/>
  <c r="N2266" i="1"/>
  <c r="M2266" i="1"/>
  <c r="O2265" i="1"/>
  <c r="O2265" i="1" a="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c r="O2259" i="1" a="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a="1"/>
  <c r="O2248" i="1" s="1"/>
  <c r="N2248" i="1"/>
  <c r="M2248" i="1"/>
  <c r="O2247" i="1"/>
  <c r="O2247" i="1" a="1"/>
  <c r="N2247" i="1"/>
  <c r="M2247" i="1"/>
  <c r="O2246" i="1"/>
  <c r="O2246" i="1" a="1"/>
  <c r="N2246" i="1"/>
  <c r="M2246" i="1"/>
  <c r="O2245" i="1" a="1"/>
  <c r="O2245" i="1" s="1"/>
  <c r="N2245" i="1"/>
  <c r="M2245" i="1"/>
  <c r="O2244" i="1" a="1"/>
  <c r="O2244" i="1" s="1"/>
  <c r="N2244" i="1"/>
  <c r="M2244" i="1"/>
  <c r="O2243" i="1"/>
  <c r="O2243" i="1" a="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c r="O2237" i="1" a="1"/>
  <c r="N2237" i="1"/>
  <c r="M2237" i="1"/>
  <c r="O2236" i="1" a="1"/>
  <c r="O2236" i="1" s="1"/>
  <c r="N2236" i="1"/>
  <c r="M2236" i="1"/>
  <c r="O2235" i="1" a="1"/>
  <c r="O2235" i="1" s="1"/>
  <c r="N2235" i="1"/>
  <c r="M2235" i="1"/>
  <c r="O2234" i="1"/>
  <c r="O2234" i="1" a="1"/>
  <c r="N2234" i="1"/>
  <c r="M2234" i="1"/>
  <c r="O2233" i="1" a="1"/>
  <c r="O2233" i="1" s="1"/>
  <c r="N2233" i="1"/>
  <c r="M2233" i="1"/>
  <c r="O2232" i="1" a="1"/>
  <c r="O2232" i="1" s="1"/>
  <c r="N2232" i="1"/>
  <c r="M2232" i="1"/>
  <c r="O2231" i="1" a="1"/>
  <c r="O2231" i="1" s="1"/>
  <c r="N2231" i="1"/>
  <c r="M2231" i="1"/>
  <c r="O2230" i="1" a="1"/>
  <c r="O2230" i="1" s="1"/>
  <c r="N2230" i="1"/>
  <c r="M2230" i="1"/>
  <c r="O2229" i="1"/>
  <c r="O2229" i="1" a="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c r="O2223" i="1" a="1"/>
  <c r="N2223" i="1"/>
  <c r="M2223" i="1"/>
  <c r="O2222" i="1" a="1"/>
  <c r="O2222" i="1" s="1"/>
  <c r="N2222" i="1"/>
  <c r="M2222" i="1"/>
  <c r="O2221" i="1" a="1"/>
  <c r="O2221" i="1" s="1"/>
  <c r="N2221" i="1"/>
  <c r="M2221" i="1"/>
  <c r="O2220" i="1"/>
  <c r="O2220" i="1" a="1"/>
  <c r="N2220" i="1"/>
  <c r="M2220" i="1"/>
  <c r="O2219" i="1" a="1"/>
  <c r="O2219" i="1" s="1"/>
  <c r="N2219" i="1"/>
  <c r="M2219" i="1"/>
  <c r="O2218" i="1" a="1"/>
  <c r="O2218" i="1" s="1"/>
  <c r="N2218" i="1"/>
  <c r="M2218" i="1"/>
  <c r="O2217" i="1" a="1"/>
  <c r="O2217" i="1" s="1"/>
  <c r="N2217" i="1"/>
  <c r="M2217" i="1"/>
  <c r="O2216" i="1"/>
  <c r="O2216" i="1" a="1"/>
  <c r="N2216" i="1"/>
  <c r="M2216" i="1"/>
  <c r="O2215" i="1" a="1"/>
  <c r="O2215" i="1" s="1"/>
  <c r="N2215" i="1"/>
  <c r="M2215" i="1"/>
  <c r="O2214" i="1"/>
  <c r="O2214" i="1" a="1"/>
  <c r="N2214" i="1"/>
  <c r="M2214" i="1"/>
  <c r="O2213" i="1" a="1"/>
  <c r="O2213" i="1" s="1"/>
  <c r="N2213" i="1"/>
  <c r="M2213" i="1"/>
  <c r="O2212" i="1" a="1"/>
  <c r="O2212" i="1" s="1"/>
  <c r="N2212" i="1"/>
  <c r="M2212" i="1"/>
  <c r="O2211" i="1"/>
  <c r="O2211" i="1" a="1"/>
  <c r="N2211" i="1"/>
  <c r="M2211" i="1"/>
  <c r="O2210" i="1"/>
  <c r="O2210" i="1" a="1"/>
  <c r="N2210" i="1"/>
  <c r="M2210" i="1"/>
  <c r="O2209" i="1" a="1"/>
  <c r="O2209" i="1" s="1"/>
  <c r="N2209" i="1"/>
  <c r="M2209" i="1"/>
  <c r="O2208" i="1" a="1"/>
  <c r="O2208" i="1" s="1"/>
  <c r="N2208" i="1"/>
  <c r="M2208" i="1"/>
  <c r="O2207" i="1"/>
  <c r="O2207" i="1" a="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c r="O2201" i="1" a="1"/>
  <c r="N2201" i="1"/>
  <c r="M2201" i="1"/>
  <c r="O2200" i="1" a="1"/>
  <c r="O2200" i="1" s="1"/>
  <c r="N2200" i="1"/>
  <c r="M2200" i="1"/>
  <c r="O2199" i="1" a="1"/>
  <c r="O2199" i="1" s="1"/>
  <c r="N2199" i="1"/>
  <c r="M2199" i="1"/>
  <c r="O2198" i="1"/>
  <c r="O2198" i="1" a="1"/>
  <c r="N2198" i="1"/>
  <c r="M2198" i="1"/>
  <c r="O2197" i="1" a="1"/>
  <c r="O2197" i="1" s="1"/>
  <c r="N2197" i="1"/>
  <c r="M2197" i="1"/>
  <c r="O2196" i="1" a="1"/>
  <c r="O2196" i="1" s="1"/>
  <c r="N2196" i="1"/>
  <c r="M2196" i="1"/>
  <c r="O2195" i="1"/>
  <c r="O2195" i="1" a="1"/>
  <c r="N2195" i="1"/>
  <c r="M2195" i="1"/>
  <c r="O2194" i="1" a="1"/>
  <c r="O2194" i="1" s="1"/>
  <c r="N2194" i="1"/>
  <c r="M2194" i="1"/>
  <c r="O2193" i="1"/>
  <c r="O2193" i="1" a="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c r="O2187" i="1" a="1"/>
  <c r="N2187" i="1"/>
  <c r="M2187" i="1"/>
  <c r="O2186" i="1" a="1"/>
  <c r="O2186" i="1" s="1"/>
  <c r="N2186" i="1"/>
  <c r="M2186" i="1"/>
  <c r="O2185" i="1" a="1"/>
  <c r="O2185" i="1" s="1"/>
  <c r="N2185" i="1"/>
  <c r="M2185" i="1"/>
  <c r="O2184" i="1"/>
  <c r="O2184" i="1" a="1"/>
  <c r="N2184" i="1"/>
  <c r="M2184" i="1"/>
  <c r="O2183" i="1" a="1"/>
  <c r="O2183" i="1" s="1"/>
  <c r="N2183" i="1"/>
  <c r="M2183" i="1"/>
  <c r="O2182" i="1" a="1"/>
  <c r="O2182" i="1" s="1"/>
  <c r="N2182" i="1"/>
  <c r="M2182" i="1"/>
  <c r="O2181" i="1" a="1"/>
  <c r="O2181" i="1" s="1"/>
  <c r="N2181" i="1"/>
  <c r="M2181" i="1"/>
  <c r="O2180" i="1"/>
  <c r="O2180" i="1" a="1"/>
  <c r="N2180" i="1"/>
  <c r="M2180" i="1"/>
  <c r="O2179" i="1" a="1"/>
  <c r="O2179" i="1" s="1"/>
  <c r="N2179" i="1"/>
  <c r="M2179" i="1"/>
  <c r="O2178" i="1"/>
  <c r="O2178" i="1" a="1"/>
  <c r="N2178" i="1"/>
  <c r="M2178" i="1"/>
  <c r="O2177" i="1" a="1"/>
  <c r="O2177" i="1" s="1"/>
  <c r="N2177" i="1"/>
  <c r="M2177" i="1"/>
  <c r="O2176" i="1" a="1"/>
  <c r="O2176" i="1" s="1"/>
  <c r="N2176" i="1"/>
  <c r="M2176" i="1"/>
  <c r="O2175" i="1"/>
  <c r="O2175" i="1" a="1"/>
  <c r="N2175" i="1"/>
  <c r="M2175" i="1"/>
  <c r="O2174" i="1"/>
  <c r="O2174" i="1" a="1"/>
  <c r="N2174" i="1"/>
  <c r="M2174" i="1"/>
  <c r="O2173" i="1" a="1"/>
  <c r="O2173" i="1" s="1"/>
  <c r="N2173" i="1"/>
  <c r="M2173" i="1"/>
  <c r="O2172" i="1" a="1"/>
  <c r="O2172" i="1" s="1"/>
  <c r="N2172" i="1"/>
  <c r="M2172" i="1"/>
  <c r="O2171" i="1" a="1"/>
  <c r="O2171" i="1" s="1"/>
  <c r="N2171" i="1"/>
  <c r="M2171" i="1"/>
  <c r="O2170" i="1" a="1"/>
  <c r="O2170" i="1" s="1"/>
  <c r="N2170" i="1"/>
  <c r="M2170" i="1"/>
  <c r="O2169" i="1"/>
  <c r="O2169" i="1" a="1"/>
  <c r="N2169" i="1"/>
  <c r="M2169" i="1"/>
  <c r="O2168" i="1" a="1"/>
  <c r="O2168" i="1" s="1"/>
  <c r="N2168" i="1"/>
  <c r="M2168" i="1"/>
  <c r="O2167" i="1" a="1"/>
  <c r="O2167" i="1" s="1"/>
  <c r="N2167" i="1"/>
  <c r="M2167" i="1"/>
  <c r="O2166" i="1"/>
  <c r="O2166" i="1" a="1"/>
  <c r="N2166" i="1"/>
  <c r="M2166" i="1"/>
  <c r="O2165" i="1"/>
  <c r="O2165" i="1" a="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c r="O2157" i="1" a="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c r="O2151" i="1" a="1"/>
  <c r="N2151" i="1"/>
  <c r="M2151" i="1"/>
  <c r="O2150" i="1"/>
  <c r="O2150" i="1" a="1"/>
  <c r="N2150" i="1"/>
  <c r="M2150" i="1"/>
  <c r="O2149" i="1" a="1"/>
  <c r="O2149" i="1" s="1"/>
  <c r="N2149" i="1"/>
  <c r="M2149" i="1"/>
  <c r="O2148" i="1" a="1"/>
  <c r="O2148" i="1" s="1"/>
  <c r="N2148" i="1"/>
  <c r="M2148" i="1"/>
  <c r="O2147" i="1" a="1"/>
  <c r="O2147" i="1" s="1"/>
  <c r="N2147" i="1"/>
  <c r="M2147" i="1"/>
  <c r="O2146" i="1"/>
  <c r="O2146" i="1" a="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c r="O2140" i="1" a="1"/>
  <c r="N2140" i="1"/>
  <c r="M2140" i="1"/>
  <c r="O2139" i="1"/>
  <c r="O2139" i="1" a="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c r="O2131" i="1" a="1"/>
  <c r="N2131" i="1"/>
  <c r="M2131" i="1"/>
  <c r="O2130" i="1" a="1"/>
  <c r="O2130" i="1" s="1"/>
  <c r="N2130" i="1"/>
  <c r="M2130" i="1"/>
  <c r="O2129" i="1" a="1"/>
  <c r="O2129" i="1" s="1"/>
  <c r="N2129" i="1"/>
  <c r="M2129" i="1"/>
  <c r="O2128" i="1"/>
  <c r="O2128" i="1" a="1"/>
  <c r="N2128" i="1"/>
  <c r="M2128" i="1"/>
  <c r="O2127" i="1"/>
  <c r="O2127" i="1" a="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c r="O2118" i="1" a="1"/>
  <c r="N2118" i="1"/>
  <c r="M2118" i="1"/>
  <c r="O2117" i="1" a="1"/>
  <c r="O2117" i="1" s="1"/>
  <c r="N2117" i="1"/>
  <c r="M2117" i="1"/>
  <c r="O2116" i="1"/>
  <c r="O2116" i="1" a="1"/>
  <c r="N2116" i="1"/>
  <c r="M2116" i="1"/>
  <c r="O2115" i="1"/>
  <c r="O2115" i="1" a="1"/>
  <c r="N2115" i="1"/>
  <c r="M2115" i="1"/>
  <c r="O2114" i="1" a="1"/>
  <c r="O2114" i="1" s="1"/>
  <c r="N2114" i="1"/>
  <c r="M2114" i="1"/>
  <c r="O2113" i="1" a="1"/>
  <c r="O2113" i="1" s="1"/>
  <c r="N2113" i="1"/>
  <c r="M2113" i="1"/>
  <c r="O2112" i="1" a="1"/>
  <c r="O2112" i="1" s="1"/>
  <c r="N2112" i="1"/>
  <c r="M2112" i="1"/>
  <c r="O2111" i="1" a="1"/>
  <c r="O2111" i="1" s="1"/>
  <c r="N2111" i="1"/>
  <c r="M2111" i="1"/>
  <c r="O2110" i="1"/>
  <c r="O2110" i="1" a="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c r="O2103" i="1" a="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c r="O2097" i="1" a="1"/>
  <c r="N2097" i="1"/>
  <c r="M2097" i="1"/>
  <c r="O2096" i="1" a="1"/>
  <c r="O2096" i="1" s="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a="1"/>
  <c r="O2090" i="1" s="1"/>
  <c r="N2090" i="1"/>
  <c r="M2090" i="1"/>
  <c r="O2089" i="1" a="1"/>
  <c r="O2089" i="1" s="1"/>
  <c r="N2089" i="1"/>
  <c r="M2089" i="1"/>
  <c r="O2088" i="1" a="1"/>
  <c r="O2088" i="1" s="1"/>
  <c r="N2088" i="1"/>
  <c r="M2088" i="1"/>
  <c r="O2087" i="1" a="1"/>
  <c r="O2087" i="1" s="1"/>
  <c r="N2087" i="1"/>
  <c r="M2087" i="1"/>
  <c r="O2086" i="1"/>
  <c r="O2086" i="1" a="1"/>
  <c r="N2086" i="1"/>
  <c r="M2086" i="1"/>
  <c r="O2085" i="1" a="1"/>
  <c r="O2085" i="1" s="1"/>
  <c r="N2085" i="1"/>
  <c r="M2085" i="1"/>
  <c r="O2084" i="1" a="1"/>
  <c r="O2084" i="1" s="1"/>
  <c r="N2084" i="1"/>
  <c r="M2084" i="1"/>
  <c r="O2083" i="1" a="1"/>
  <c r="O2083" i="1" s="1"/>
  <c r="N2083" i="1"/>
  <c r="M2083" i="1"/>
  <c r="O2082" i="1"/>
  <c r="O2082" i="1" a="1"/>
  <c r="N2082" i="1"/>
  <c r="M2082" i="1"/>
  <c r="O2081" i="1" a="1"/>
  <c r="O2081" i="1" s="1"/>
  <c r="N2081" i="1"/>
  <c r="M2081" i="1"/>
  <c r="O2080" i="1"/>
  <c r="O2080" i="1" a="1"/>
  <c r="N2080" i="1"/>
  <c r="M2080" i="1"/>
  <c r="O2079" i="1"/>
  <c r="O2079" i="1" a="1"/>
  <c r="N2079" i="1"/>
  <c r="M2079" i="1"/>
  <c r="O2078" i="1" a="1"/>
  <c r="O2078" i="1" s="1"/>
  <c r="N2078" i="1"/>
  <c r="M2078" i="1"/>
  <c r="O2077" i="1" a="1"/>
  <c r="O2077" i="1" s="1"/>
  <c r="N2077" i="1"/>
  <c r="M2077" i="1"/>
  <c r="O2076" i="1" a="1"/>
  <c r="O2076" i="1" s="1"/>
  <c r="N2076" i="1"/>
  <c r="M2076" i="1"/>
  <c r="O2075" i="1" a="1"/>
  <c r="O2075" i="1" s="1"/>
  <c r="N2075" i="1"/>
  <c r="M2075" i="1"/>
  <c r="O2074" i="1"/>
  <c r="O2074" i="1" a="1"/>
  <c r="N2074" i="1"/>
  <c r="M2074" i="1"/>
  <c r="O2073" i="1"/>
  <c r="O2073" i="1" a="1"/>
  <c r="N2073" i="1"/>
  <c r="M2073" i="1"/>
  <c r="O2072" i="1" a="1"/>
  <c r="O2072" i="1" s="1"/>
  <c r="N2072" i="1"/>
  <c r="M2072" i="1"/>
  <c r="O2071" i="1" a="1"/>
  <c r="O2071" i="1" s="1"/>
  <c r="N2071" i="1"/>
  <c r="M2071" i="1"/>
  <c r="O2070" i="1" a="1"/>
  <c r="O2070" i="1" s="1"/>
  <c r="N2070" i="1"/>
  <c r="M2070" i="1"/>
  <c r="O2069" i="1" a="1"/>
  <c r="O2069" i="1" s="1"/>
  <c r="N2069" i="1"/>
  <c r="M2069" i="1"/>
  <c r="O2068" i="1"/>
  <c r="O2068" i="1" a="1"/>
  <c r="N2068" i="1"/>
  <c r="M2068" i="1"/>
  <c r="O2067" i="1"/>
  <c r="O2067" i="1" a="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a="1"/>
  <c r="O2060" i="1" s="1"/>
  <c r="N2060" i="1"/>
  <c r="M2060" i="1"/>
  <c r="O2059" i="1"/>
  <c r="O2059" i="1" a="1"/>
  <c r="N2059" i="1"/>
  <c r="M2059" i="1"/>
  <c r="O2058" i="1" a="1"/>
  <c r="O2058" i="1" s="1"/>
  <c r="N2058" i="1"/>
  <c r="M2058" i="1"/>
  <c r="O2057" i="1" a="1"/>
  <c r="O2057" i="1" s="1"/>
  <c r="N2057" i="1"/>
  <c r="M2057" i="1"/>
  <c r="O2056" i="1"/>
  <c r="O2056" i="1" a="1"/>
  <c r="N2056" i="1"/>
  <c r="M2056" i="1"/>
  <c r="O2055" i="1"/>
  <c r="O2055" i="1" a="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c r="O2046" i="1" a="1"/>
  <c r="N2046" i="1"/>
  <c r="M2046" i="1"/>
  <c r="O2045" i="1" a="1"/>
  <c r="O2045" i="1" s="1"/>
  <c r="N2045" i="1"/>
  <c r="M2045" i="1"/>
  <c r="O2044" i="1"/>
  <c r="O2044" i="1" a="1"/>
  <c r="N2044" i="1"/>
  <c r="M2044" i="1"/>
  <c r="O2043" i="1"/>
  <c r="O2043" i="1" a="1"/>
  <c r="N2043" i="1"/>
  <c r="M2043" i="1"/>
  <c r="O2042" i="1" a="1"/>
  <c r="O2042" i="1" s="1"/>
  <c r="N2042" i="1"/>
  <c r="M2042" i="1"/>
  <c r="O2041" i="1" a="1"/>
  <c r="O2041" i="1" s="1"/>
  <c r="N2041" i="1"/>
  <c r="M2041" i="1"/>
  <c r="O2040" i="1" a="1"/>
  <c r="O2040" i="1" s="1"/>
  <c r="N2040" i="1"/>
  <c r="M2040" i="1"/>
  <c r="O2039" i="1" a="1"/>
  <c r="O2039" i="1" s="1"/>
  <c r="N2039" i="1"/>
  <c r="M2039" i="1"/>
  <c r="O2038" i="1"/>
  <c r="O2038" i="1" a="1"/>
  <c r="N2038" i="1"/>
  <c r="M2038" i="1"/>
  <c r="O2037" i="1"/>
  <c r="O2037" i="1" a="1"/>
  <c r="N2037" i="1"/>
  <c r="M2037" i="1"/>
  <c r="O2036" i="1" a="1"/>
  <c r="O2036" i="1" s="1"/>
  <c r="N2036" i="1"/>
  <c r="M2036" i="1"/>
  <c r="O2035" i="1" a="1"/>
  <c r="O2035" i="1" s="1"/>
  <c r="N2035" i="1"/>
  <c r="M2035" i="1"/>
  <c r="O2034" i="1" a="1"/>
  <c r="O2034" i="1" s="1"/>
  <c r="N2034" i="1"/>
  <c r="M2034" i="1"/>
  <c r="O2033" i="1" a="1"/>
  <c r="O2033" i="1" s="1"/>
  <c r="N2033" i="1"/>
  <c r="M2033" i="1"/>
  <c r="O2032" i="1"/>
  <c r="O2032" i="1" a="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c r="O2025" i="1" a="1"/>
  <c r="N2025" i="1"/>
  <c r="M2025" i="1"/>
  <c r="O2024" i="1" a="1"/>
  <c r="O2024" i="1" s="1"/>
  <c r="N2024" i="1"/>
  <c r="M2024" i="1"/>
  <c r="O2023" i="1"/>
  <c r="O2023" i="1" a="1"/>
  <c r="N2023" i="1"/>
  <c r="M2023" i="1"/>
  <c r="O2022" i="1" a="1"/>
  <c r="O2022" i="1" s="1"/>
  <c r="N2022" i="1"/>
  <c r="M2022" i="1"/>
  <c r="O2021" i="1" a="1"/>
  <c r="O2021" i="1" s="1"/>
  <c r="N2021" i="1"/>
  <c r="M2021" i="1"/>
  <c r="O2020" i="1"/>
  <c r="O2020" i="1" a="1"/>
  <c r="N2020" i="1"/>
  <c r="M2020" i="1"/>
  <c r="O2019" i="1"/>
  <c r="O2019" i="1" a="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c r="O2010" i="1" a="1"/>
  <c r="N2010" i="1"/>
  <c r="M2010" i="1"/>
  <c r="O2009" i="1" a="1"/>
  <c r="O2009" i="1" s="1"/>
  <c r="N2009" i="1"/>
  <c r="M2009" i="1"/>
  <c r="O2008" i="1"/>
  <c r="O2008" i="1" a="1"/>
  <c r="N2008" i="1"/>
  <c r="M2008" i="1"/>
  <c r="O2007" i="1"/>
  <c r="O2007" i="1" a="1"/>
  <c r="N2007" i="1"/>
  <c r="M2007" i="1"/>
  <c r="O2006" i="1" a="1"/>
  <c r="O2006" i="1" s="1"/>
  <c r="N2006" i="1"/>
  <c r="M2006" i="1"/>
  <c r="O2005" i="1" a="1"/>
  <c r="O2005" i="1" s="1"/>
  <c r="N2005" i="1"/>
  <c r="M2005" i="1"/>
  <c r="O2004" i="1" a="1"/>
  <c r="O2004" i="1" s="1"/>
  <c r="N2004" i="1"/>
  <c r="M2004" i="1"/>
  <c r="O2003" i="1" a="1"/>
  <c r="O2003" i="1" s="1"/>
  <c r="N2003" i="1"/>
  <c r="M2003" i="1"/>
  <c r="O2002" i="1"/>
  <c r="O2002" i="1" a="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c r="O1996" i="1" a="1"/>
  <c r="N1996" i="1"/>
  <c r="M1996" i="1"/>
  <c r="O1995" i="1"/>
  <c r="O1995" i="1" a="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c r="O1989" i="1" a="1"/>
  <c r="N1989" i="1"/>
  <c r="M1989" i="1"/>
  <c r="O1988" i="1" a="1"/>
  <c r="O1988" i="1" s="1"/>
  <c r="N1988" i="1"/>
  <c r="M1988" i="1"/>
  <c r="O1987" i="1"/>
  <c r="O1987" i="1" a="1"/>
  <c r="N1987" i="1"/>
  <c r="M1987" i="1"/>
  <c r="O1986" i="1" a="1"/>
  <c r="O1986" i="1" s="1"/>
  <c r="N1986" i="1"/>
  <c r="M1986" i="1"/>
  <c r="O1985" i="1" a="1"/>
  <c r="O1985" i="1" s="1"/>
  <c r="N1985" i="1"/>
  <c r="M1985" i="1"/>
  <c r="O1984" i="1"/>
  <c r="O1984" i="1" a="1"/>
  <c r="N1984" i="1"/>
  <c r="M1984" i="1"/>
  <c r="O1983" i="1"/>
  <c r="O1983" i="1" a="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c r="O1974" i="1" a="1"/>
  <c r="N1974" i="1"/>
  <c r="M1974" i="1"/>
  <c r="O1973" i="1" a="1"/>
  <c r="O1973" i="1" s="1"/>
  <c r="N1973" i="1"/>
  <c r="M1973" i="1"/>
  <c r="O1972" i="1"/>
  <c r="O1972" i="1" a="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c r="O1966" i="1" a="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c r="O1960" i="1" a="1"/>
  <c r="N1960" i="1"/>
  <c r="M1960" i="1"/>
  <c r="O1959" i="1"/>
  <c r="O1959" i="1" a="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c r="O1953" i="1" a="1"/>
  <c r="N1953" i="1"/>
  <c r="M1953" i="1"/>
  <c r="O1952" i="1" a="1"/>
  <c r="O1952" i="1" s="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a="1"/>
  <c r="O1937" i="1" s="1"/>
  <c r="N1937" i="1"/>
  <c r="M1937" i="1"/>
  <c r="O1936" i="1"/>
  <c r="O1936" i="1" a="1"/>
  <c r="N1936" i="1"/>
  <c r="M1936" i="1"/>
  <c r="O1935" i="1"/>
  <c r="O1935" i="1" a="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c r="O1777" i="1" a="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c r="O1759" i="1" a="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c r="O1741" i="1" a="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c r="O1723" i="1" a="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c r="O1715" i="1" a="1"/>
  <c r="N1715" i="1"/>
  <c r="M1715" i="1"/>
  <c r="O1714" i="1"/>
  <c r="O1714" i="1" a="1"/>
  <c r="N1714" i="1"/>
  <c r="M1714" i="1"/>
  <c r="O1713" i="1" a="1"/>
  <c r="O1713" i="1" s="1"/>
  <c r="N1713" i="1"/>
  <c r="M1713" i="1"/>
  <c r="O1712" i="1" a="1"/>
  <c r="O1712" i="1" s="1"/>
  <c r="N1712" i="1"/>
  <c r="M1712" i="1"/>
  <c r="O1711" i="1" a="1"/>
  <c r="O1711" i="1" s="1"/>
  <c r="N1711" i="1"/>
  <c r="M1711" i="1"/>
  <c r="O1710" i="1"/>
  <c r="O1710" i="1" a="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c r="O1698" i="1" a="1"/>
  <c r="N1698" i="1"/>
  <c r="M1698" i="1"/>
  <c r="O1697" i="1" a="1"/>
  <c r="O1697" i="1" s="1"/>
  <c r="N1697" i="1"/>
  <c r="M1697" i="1"/>
  <c r="O1696" i="1" a="1"/>
  <c r="O1696" i="1" s="1"/>
  <c r="N1696" i="1"/>
  <c r="M1696" i="1"/>
  <c r="O1695" i="1"/>
  <c r="O1695" i="1" a="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c r="O1683" i="1" a="1"/>
  <c r="N1683" i="1"/>
  <c r="M1683" i="1"/>
  <c r="O1682" i="1" a="1"/>
  <c r="O1682" i="1" s="1"/>
  <c r="N1682" i="1"/>
  <c r="M1682" i="1"/>
  <c r="O1681" i="1" a="1"/>
  <c r="O1681" i="1" s="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c r="O1665" i="1" a="1"/>
  <c r="N1665" i="1"/>
  <c r="M1665" i="1"/>
  <c r="O1664" i="1" a="1"/>
  <c r="O1664" i="1" s="1"/>
  <c r="N1664" i="1"/>
  <c r="M1664" i="1"/>
  <c r="O1663" i="1" a="1"/>
  <c r="O1663" i="1" s="1"/>
  <c r="N1663" i="1"/>
  <c r="M1663" i="1"/>
  <c r="O1662" i="1"/>
  <c r="O1662" i="1" a="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c r="O1647" i="1" a="1"/>
  <c r="N1647" i="1"/>
  <c r="M1647" i="1"/>
  <c r="O1646" i="1" a="1"/>
  <c r="O1646" i="1" s="1"/>
  <c r="N1646" i="1"/>
  <c r="M1646" i="1"/>
  <c r="O1645" i="1" a="1"/>
  <c r="O1645" i="1" s="1"/>
  <c r="N1645" i="1"/>
  <c r="M1645" i="1"/>
  <c r="O1644" i="1"/>
  <c r="O1644" i="1" a="1"/>
  <c r="N1644" i="1"/>
  <c r="M1644" i="1"/>
  <c r="O1643" i="1" a="1"/>
  <c r="O1643" i="1" s="1"/>
  <c r="N1643" i="1"/>
  <c r="M1643" i="1"/>
  <c r="O1642" i="1" a="1"/>
  <c r="O1642" i="1" s="1"/>
  <c r="N1642" i="1"/>
  <c r="M1642" i="1"/>
  <c r="O1641" i="1"/>
  <c r="O1641" i="1" a="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c r="O1629" i="1" a="1"/>
  <c r="N1629" i="1"/>
  <c r="M1629" i="1"/>
  <c r="O1628" i="1" a="1"/>
  <c r="O1628" i="1" s="1"/>
  <c r="N1628" i="1"/>
  <c r="M1628" i="1"/>
  <c r="O1627" i="1" a="1"/>
  <c r="O1627" i="1" s="1"/>
  <c r="N1627" i="1"/>
  <c r="M1627" i="1"/>
  <c r="O1626" i="1"/>
  <c r="O1626" i="1" a="1"/>
  <c r="N1626" i="1"/>
  <c r="M1626" i="1"/>
  <c r="O1625" i="1" a="1"/>
  <c r="O1625" i="1" s="1"/>
  <c r="N1625" i="1"/>
  <c r="M1625" i="1"/>
  <c r="O1624" i="1" a="1"/>
  <c r="O1624" i="1" s="1"/>
  <c r="N1624" i="1"/>
  <c r="M1624" i="1"/>
  <c r="O1623" i="1"/>
  <c r="O1623" i="1" a="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c r="O1611" i="1" a="1"/>
  <c r="N1611" i="1"/>
  <c r="M1611" i="1"/>
  <c r="O1610" i="1" a="1"/>
  <c r="O1610" i="1" s="1"/>
  <c r="N1610" i="1"/>
  <c r="M1610" i="1"/>
  <c r="O1609" i="1" a="1"/>
  <c r="O1609" i="1" s="1"/>
  <c r="N1609" i="1"/>
  <c r="M1609" i="1"/>
  <c r="O1608" i="1"/>
  <c r="O1608" i="1" a="1"/>
  <c r="N1608" i="1"/>
  <c r="M1608" i="1"/>
  <c r="O1607" i="1" a="1"/>
  <c r="O1607" i="1" s="1"/>
  <c r="N1607" i="1"/>
  <c r="M1607" i="1"/>
  <c r="O1606" i="1" a="1"/>
  <c r="O1606" i="1" s="1"/>
  <c r="N1606" i="1"/>
  <c r="M1606" i="1"/>
  <c r="O1605" i="1"/>
  <c r="O1605" i="1" a="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c r="O1593" i="1" a="1"/>
  <c r="N1593" i="1"/>
  <c r="M1593" i="1"/>
  <c r="O1592" i="1" a="1"/>
  <c r="O1592" i="1" s="1"/>
  <c r="N1592" i="1"/>
  <c r="M1592" i="1"/>
  <c r="O1591" i="1" a="1"/>
  <c r="O1591" i="1" s="1"/>
  <c r="N1591" i="1"/>
  <c r="M1591" i="1"/>
  <c r="O1590" i="1"/>
  <c r="O1590" i="1" a="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c r="O1572" i="1" a="1"/>
  <c r="N1572" i="1"/>
  <c r="M1572" i="1"/>
  <c r="O1571" i="1" a="1"/>
  <c r="O1571" i="1" s="1"/>
  <c r="N1571" i="1"/>
  <c r="M1571" i="1"/>
  <c r="O1570" i="1" a="1"/>
  <c r="O1570" i="1" s="1"/>
  <c r="N1570" i="1"/>
  <c r="M1570" i="1"/>
  <c r="O1569" i="1"/>
  <c r="O1569" i="1" a="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c r="O1539" i="1" a="1"/>
  <c r="N1539" i="1"/>
  <c r="M1539" i="1"/>
  <c r="O1538" i="1" a="1"/>
  <c r="O1538" i="1" s="1"/>
  <c r="N1538" i="1"/>
  <c r="M1538" i="1"/>
  <c r="O1537" i="1" a="1"/>
  <c r="O1537" i="1" s="1"/>
  <c r="N1537" i="1"/>
  <c r="M1537" i="1"/>
  <c r="O1536" i="1"/>
  <c r="O1536" i="1" a="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c r="O1521" i="1" a="1"/>
  <c r="N1521" i="1"/>
  <c r="M1521" i="1"/>
  <c r="O1520" i="1" a="1"/>
  <c r="O1520" i="1" s="1"/>
  <c r="N1520" i="1"/>
  <c r="M1520" i="1"/>
  <c r="O1519" i="1" a="1"/>
  <c r="O1519" i="1" s="1"/>
  <c r="N1519" i="1"/>
  <c r="M1519" i="1"/>
  <c r="O1518" i="1"/>
  <c r="O1518" i="1" a="1"/>
  <c r="N1518" i="1"/>
  <c r="M1518" i="1"/>
  <c r="O1517" i="1" a="1"/>
  <c r="O1517" i="1" s="1"/>
  <c r="N1517" i="1"/>
  <c r="M1517" i="1"/>
  <c r="O1516" i="1" a="1"/>
  <c r="O1516" i="1" s="1"/>
  <c r="N1516" i="1"/>
  <c r="M1516" i="1"/>
  <c r="O1515" i="1"/>
  <c r="O1515" i="1" a="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c r="O1503" i="1" a="1"/>
  <c r="N1503" i="1"/>
  <c r="M1503" i="1"/>
  <c r="O1502" i="1" a="1"/>
  <c r="O1502" i="1" s="1"/>
  <c r="N1502" i="1"/>
  <c r="M1502" i="1"/>
  <c r="O1501" i="1" a="1"/>
  <c r="O1501" i="1" s="1"/>
  <c r="N1501" i="1"/>
  <c r="M1501" i="1"/>
  <c r="O1500" i="1"/>
  <c r="O1500" i="1" a="1"/>
  <c r="N1500" i="1"/>
  <c r="M1500" i="1"/>
  <c r="O1499" i="1" a="1"/>
  <c r="O1499" i="1" s="1"/>
  <c r="N1499" i="1"/>
  <c r="M1499" i="1"/>
  <c r="O1498" i="1" a="1"/>
  <c r="O1498" i="1" s="1"/>
  <c r="N1498" i="1"/>
  <c r="M1498" i="1"/>
  <c r="O1497" i="1"/>
  <c r="O1497" i="1" a="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c r="O1482" i="1" a="1"/>
  <c r="N1482" i="1"/>
  <c r="M1482" i="1"/>
  <c r="O1481" i="1" a="1"/>
  <c r="O1481" i="1" s="1"/>
  <c r="N1481" i="1"/>
  <c r="M1481" i="1"/>
  <c r="O1480" i="1" a="1"/>
  <c r="O1480" i="1" s="1"/>
  <c r="N1480" i="1"/>
  <c r="M1480" i="1"/>
  <c r="O1479" i="1"/>
  <c r="O1479" i="1" a="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c r="O1470" i="1" a="1"/>
  <c r="N1470" i="1"/>
  <c r="M1470" i="1"/>
  <c r="O1469" i="1" a="1"/>
  <c r="O1469" i="1" s="1"/>
  <c r="N1469" i="1"/>
  <c r="M1469" i="1"/>
  <c r="O1468" i="1" a="1"/>
  <c r="O1468" i="1" s="1"/>
  <c r="N1468" i="1"/>
  <c r="M1468" i="1"/>
  <c r="O1467" i="1"/>
  <c r="O1467" i="1" a="1"/>
  <c r="N1467" i="1"/>
  <c r="M1467" i="1"/>
  <c r="O1466" i="1" a="1"/>
  <c r="O1466" i="1" s="1"/>
  <c r="N1466" i="1"/>
  <c r="M1466" i="1"/>
  <c r="O1465" i="1" a="1"/>
  <c r="O1465" i="1" s="1"/>
  <c r="N1465" i="1"/>
  <c r="M1465" i="1"/>
  <c r="O1464" i="1"/>
  <c r="O1464" i="1" a="1"/>
  <c r="N1464" i="1"/>
  <c r="M1464" i="1"/>
  <c r="O1463" i="1" a="1"/>
  <c r="O1463" i="1" s="1"/>
  <c r="N1463" i="1"/>
  <c r="M1463" i="1"/>
  <c r="O1462" i="1" a="1"/>
  <c r="O1462" i="1" s="1"/>
  <c r="N1462" i="1"/>
  <c r="M1462" i="1"/>
  <c r="O1461" i="1"/>
  <c r="O1461" i="1" a="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c r="O1452" i="1" a="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c r="O1444" i="1" a="1"/>
  <c r="N1444" i="1"/>
  <c r="M1444" i="1"/>
  <c r="O1443" i="1" a="1"/>
  <c r="O1443" i="1" s="1"/>
  <c r="N1443" i="1"/>
  <c r="M1443" i="1"/>
  <c r="O1442" i="1" a="1"/>
  <c r="O1442" i="1" s="1"/>
  <c r="N1442" i="1"/>
  <c r="M1442" i="1"/>
  <c r="O1441" i="1" a="1"/>
  <c r="O1441" i="1" s="1"/>
  <c r="N1441" i="1"/>
  <c r="M1441" i="1"/>
  <c r="O1440" i="1"/>
  <c r="O1440" i="1" a="1"/>
  <c r="N1440" i="1"/>
  <c r="M1440" i="1"/>
  <c r="O1439" i="1" a="1"/>
  <c r="O1439" i="1" s="1"/>
  <c r="N1439" i="1"/>
  <c r="M1439" i="1"/>
  <c r="O1438" i="1"/>
  <c r="O1438" i="1" a="1"/>
  <c r="N1438" i="1"/>
  <c r="M1438" i="1"/>
  <c r="O1437" i="1" a="1"/>
  <c r="O1437" i="1" s="1"/>
  <c r="N1437" i="1"/>
  <c r="M1437" i="1"/>
  <c r="O1436" i="1" a="1"/>
  <c r="O1436" i="1" s="1"/>
  <c r="N1436" i="1"/>
  <c r="M1436" i="1"/>
  <c r="O1435" i="1"/>
  <c r="O1435" i="1" a="1"/>
  <c r="N1435" i="1"/>
  <c r="M1435" i="1"/>
  <c r="O1434" i="1" a="1"/>
  <c r="O1434" i="1" s="1"/>
  <c r="N1434" i="1"/>
  <c r="M1434" i="1"/>
  <c r="O1433" i="1" a="1"/>
  <c r="O1433" i="1" s="1"/>
  <c r="N1433" i="1"/>
  <c r="M1433" i="1"/>
  <c r="O1432" i="1" a="1"/>
  <c r="O1432" i="1" s="1"/>
  <c r="N1432" i="1"/>
  <c r="M1432" i="1"/>
  <c r="O1431" i="1"/>
  <c r="O1431" i="1" a="1"/>
  <c r="N1431" i="1"/>
  <c r="M1431" i="1"/>
  <c r="O1430" i="1" a="1"/>
  <c r="O1430" i="1" s="1"/>
  <c r="N1430" i="1"/>
  <c r="M1430" i="1"/>
  <c r="O1429" i="1"/>
  <c r="O1429" i="1" a="1"/>
  <c r="N1429" i="1"/>
  <c r="M1429" i="1"/>
  <c r="O1428" i="1" a="1"/>
  <c r="O1428" i="1" s="1"/>
  <c r="N1428" i="1"/>
  <c r="M1428" i="1"/>
  <c r="O1427" i="1" a="1"/>
  <c r="O1427" i="1" s="1"/>
  <c r="N1427" i="1"/>
  <c r="M1427" i="1"/>
  <c r="O1426" i="1" a="1"/>
  <c r="O1426" i="1" s="1"/>
  <c r="N1426" i="1"/>
  <c r="M1426" i="1"/>
  <c r="O1425" i="1"/>
  <c r="O1425" i="1" a="1"/>
  <c r="N1425" i="1"/>
  <c r="M1425" i="1"/>
  <c r="O1424" i="1" a="1"/>
  <c r="O1424" i="1" s="1"/>
  <c r="N1424" i="1"/>
  <c r="M1424" i="1"/>
  <c r="O1423" i="1"/>
  <c r="O1423" i="1" a="1"/>
  <c r="N1423" i="1"/>
  <c r="M1423" i="1"/>
  <c r="O1422" i="1"/>
  <c r="O1422" i="1" a="1"/>
  <c r="N1422" i="1"/>
  <c r="M1422" i="1"/>
  <c r="O1421" i="1" a="1"/>
  <c r="O1421" i="1" s="1"/>
  <c r="N1421" i="1"/>
  <c r="M1421" i="1"/>
  <c r="O1420" i="1" a="1"/>
  <c r="O1420" i="1" s="1"/>
  <c r="N1420" i="1"/>
  <c r="M1420" i="1"/>
  <c r="O1419" i="1" a="1"/>
  <c r="O1419" i="1" s="1"/>
  <c r="N1419" i="1"/>
  <c r="M1419" i="1"/>
  <c r="O1418" i="1" a="1"/>
  <c r="O1418" i="1" s="1"/>
  <c r="N1418" i="1"/>
  <c r="M1418" i="1"/>
  <c r="O1417" i="1"/>
  <c r="O1417" i="1" a="1"/>
  <c r="N1417" i="1"/>
  <c r="M1417" i="1"/>
  <c r="O1416" i="1"/>
  <c r="O1416" i="1" a="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c r="O1410" i="1" a="1"/>
  <c r="N1410" i="1"/>
  <c r="M1410" i="1"/>
  <c r="O1409" i="1" a="1"/>
  <c r="O1409" i="1" s="1"/>
  <c r="N1409" i="1"/>
  <c r="M1409" i="1"/>
  <c r="O1408" i="1"/>
  <c r="O1408" i="1" a="1"/>
  <c r="N1408" i="1"/>
  <c r="M1408" i="1"/>
  <c r="O1407" i="1" a="1"/>
  <c r="O1407" i="1" s="1"/>
  <c r="N1407" i="1"/>
  <c r="M1407" i="1"/>
  <c r="O1406" i="1" a="1"/>
  <c r="O1406" i="1" s="1"/>
  <c r="N1406" i="1"/>
  <c r="M1406" i="1"/>
  <c r="O1405" i="1" a="1"/>
  <c r="O1405" i="1" s="1"/>
  <c r="N1405" i="1"/>
  <c r="M1405" i="1"/>
  <c r="O1404" i="1"/>
  <c r="O1404" i="1" a="1"/>
  <c r="N1404" i="1"/>
  <c r="M1404" i="1"/>
  <c r="O1403" i="1" a="1"/>
  <c r="O1403" i="1" s="1"/>
  <c r="N1403" i="1"/>
  <c r="M1403" i="1"/>
  <c r="O1402" i="1"/>
  <c r="O1402" i="1" a="1"/>
  <c r="N1402" i="1"/>
  <c r="M1402" i="1"/>
  <c r="O1401" i="1" a="1"/>
  <c r="O1401" i="1" s="1"/>
  <c r="N1401" i="1"/>
  <c r="M1401" i="1"/>
  <c r="O1400" i="1" a="1"/>
  <c r="O1400" i="1" s="1"/>
  <c r="N1400" i="1"/>
  <c r="M1400" i="1"/>
  <c r="O1399" i="1"/>
  <c r="O1399" i="1" a="1"/>
  <c r="N1399" i="1"/>
  <c r="M1399" i="1"/>
  <c r="O1398" i="1"/>
  <c r="O1398" i="1" a="1"/>
  <c r="N1398" i="1"/>
  <c r="M1398" i="1"/>
  <c r="O1397" i="1" a="1"/>
  <c r="O1397" i="1" s="1"/>
  <c r="N1397" i="1"/>
  <c r="M1397" i="1"/>
  <c r="O1396" i="1" a="1"/>
  <c r="O1396" i="1" s="1"/>
  <c r="N1396" i="1"/>
  <c r="M1396" i="1"/>
  <c r="O1395" i="1"/>
  <c r="O1395" i="1" a="1"/>
  <c r="N1395" i="1"/>
  <c r="M1395" i="1"/>
  <c r="O1394" i="1" a="1"/>
  <c r="O1394" i="1" s="1"/>
  <c r="N1394" i="1"/>
  <c r="M1394" i="1"/>
  <c r="O1393" i="1"/>
  <c r="O1393" i="1" a="1"/>
  <c r="N1393" i="1"/>
  <c r="M1393" i="1"/>
  <c r="O1392" i="1" a="1"/>
  <c r="O1392" i="1" s="1"/>
  <c r="N1392" i="1"/>
  <c r="M1392" i="1"/>
  <c r="O1391" i="1" a="1"/>
  <c r="O1391" i="1" s="1"/>
  <c r="N1391" i="1"/>
  <c r="M1391" i="1"/>
  <c r="O1390" i="1" a="1"/>
  <c r="O1390" i="1" s="1"/>
  <c r="N1390" i="1"/>
  <c r="M1390" i="1"/>
  <c r="O1389" i="1"/>
  <c r="O1389" i="1" a="1"/>
  <c r="N1389" i="1"/>
  <c r="M1389" i="1"/>
  <c r="O1388" i="1" a="1"/>
  <c r="O1388" i="1" s="1"/>
  <c r="N1388" i="1"/>
  <c r="M1388" i="1"/>
  <c r="O1387" i="1"/>
  <c r="O1387" i="1" a="1"/>
  <c r="N1387" i="1"/>
  <c r="M1387" i="1"/>
  <c r="O1386" i="1"/>
  <c r="O1386" i="1" a="1"/>
  <c r="N1386" i="1"/>
  <c r="M1386" i="1"/>
  <c r="O1385" i="1" a="1"/>
  <c r="O1385" i="1" s="1"/>
  <c r="N1385" i="1"/>
  <c r="M1385" i="1"/>
  <c r="O1384" i="1" a="1"/>
  <c r="O1384" i="1" s="1"/>
  <c r="N1384" i="1"/>
  <c r="M1384" i="1"/>
  <c r="O1383" i="1" a="1"/>
  <c r="O1383" i="1" s="1"/>
  <c r="N1383" i="1"/>
  <c r="M1383" i="1"/>
  <c r="O1382" i="1" a="1"/>
  <c r="O1382" i="1" s="1"/>
  <c r="N1382" i="1"/>
  <c r="M1382" i="1"/>
  <c r="O1381" i="1"/>
  <c r="O1381" i="1" a="1"/>
  <c r="N1381" i="1"/>
  <c r="M1381" i="1"/>
  <c r="O1380" i="1"/>
  <c r="O1380" i="1" a="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c r="O1374" i="1" a="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c r="O1366" i="1" a="1"/>
  <c r="N1366" i="1"/>
  <c r="M1366" i="1"/>
  <c r="O1365" i="1" a="1"/>
  <c r="O1365" i="1" s="1"/>
  <c r="N1365" i="1"/>
  <c r="M1365" i="1"/>
  <c r="O1364" i="1" a="1"/>
  <c r="O1364" i="1" s="1"/>
  <c r="N1364" i="1"/>
  <c r="M1364" i="1"/>
  <c r="O1363" i="1"/>
  <c r="O1363" i="1" a="1"/>
  <c r="N1363" i="1"/>
  <c r="M1363" i="1"/>
  <c r="O1362" i="1" a="1"/>
  <c r="O1362" i="1" s="1"/>
  <c r="N1362" i="1"/>
  <c r="M1362" i="1"/>
  <c r="O1361" i="1" a="1"/>
  <c r="O1361" i="1" s="1"/>
  <c r="N1361" i="1"/>
  <c r="M1361" i="1"/>
  <c r="O1360" i="1" a="1"/>
  <c r="O1360" i="1" s="1"/>
  <c r="N1360" i="1"/>
  <c r="M1360" i="1"/>
  <c r="O1359" i="1"/>
  <c r="O1359" i="1" a="1"/>
  <c r="N1359" i="1"/>
  <c r="M1359" i="1"/>
  <c r="O1358" i="1" a="1"/>
  <c r="O1358" i="1" s="1"/>
  <c r="N1358" i="1"/>
  <c r="M1358" i="1"/>
  <c r="O1357" i="1"/>
  <c r="O1357" i="1" a="1"/>
  <c r="N1357" i="1"/>
  <c r="M1357" i="1"/>
  <c r="O1356" i="1" a="1"/>
  <c r="O1356" i="1" s="1"/>
  <c r="N1356" i="1"/>
  <c r="M1356" i="1"/>
  <c r="O1355" i="1" a="1"/>
  <c r="O1355" i="1" s="1"/>
  <c r="N1355" i="1"/>
  <c r="M1355" i="1"/>
  <c r="O1354" i="1" a="1"/>
  <c r="O1354" i="1" s="1"/>
  <c r="N1354" i="1"/>
  <c r="M1354" i="1"/>
  <c r="O1353" i="1"/>
  <c r="O1353" i="1" a="1"/>
  <c r="N1353" i="1"/>
  <c r="M1353" i="1"/>
  <c r="O1352" i="1" a="1"/>
  <c r="O1352" i="1" s="1"/>
  <c r="N1352" i="1"/>
  <c r="M1352" i="1"/>
  <c r="O1351" i="1"/>
  <c r="O1351" i="1" a="1"/>
  <c r="N1351" i="1"/>
  <c r="M1351" i="1"/>
  <c r="O1350" i="1"/>
  <c r="O1350" i="1" a="1"/>
  <c r="N1350" i="1"/>
  <c r="M1350" i="1"/>
  <c r="O1349" i="1" a="1"/>
  <c r="O1349" i="1" s="1"/>
  <c r="N1349" i="1"/>
  <c r="M1349" i="1"/>
  <c r="O1348" i="1" a="1"/>
  <c r="O1348" i="1" s="1"/>
  <c r="N1348" i="1"/>
  <c r="M1348" i="1"/>
  <c r="O1347" i="1" a="1"/>
  <c r="O1347" i="1" s="1"/>
  <c r="N1347" i="1"/>
  <c r="M1347" i="1"/>
  <c r="O1346" i="1" a="1"/>
  <c r="O1346" i="1" s="1"/>
  <c r="N1346" i="1"/>
  <c r="M1346" i="1"/>
  <c r="O1345" i="1"/>
  <c r="O1345" i="1" a="1"/>
  <c r="N1345" i="1"/>
  <c r="M1345" i="1"/>
  <c r="O1344" i="1"/>
  <c r="O1344" i="1" a="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c r="O1338" i="1" a="1"/>
  <c r="N1338" i="1"/>
  <c r="M1338" i="1"/>
  <c r="O1337" i="1" a="1"/>
  <c r="O1337" i="1" s="1"/>
  <c r="N1337" i="1"/>
  <c r="M1337" i="1"/>
  <c r="O1336" i="1"/>
  <c r="O1336" i="1" a="1"/>
  <c r="N1336" i="1"/>
  <c r="M1336" i="1"/>
  <c r="O1335" i="1" a="1"/>
  <c r="O1335" i="1" s="1"/>
  <c r="N1335" i="1"/>
  <c r="M1335" i="1"/>
  <c r="O1334" i="1" a="1"/>
  <c r="O1334" i="1" s="1"/>
  <c r="N1334" i="1"/>
  <c r="M1334" i="1"/>
  <c r="O1333" i="1" a="1"/>
  <c r="O1333" i="1" s="1"/>
  <c r="N1333" i="1"/>
  <c r="M1333" i="1"/>
  <c r="O1332" i="1"/>
  <c r="O1332" i="1" a="1"/>
  <c r="N1332" i="1"/>
  <c r="M1332" i="1"/>
  <c r="O1331" i="1" a="1"/>
  <c r="O1331" i="1" s="1"/>
  <c r="N1331" i="1"/>
  <c r="M1331" i="1"/>
  <c r="O1330" i="1" a="1"/>
  <c r="O1330" i="1" s="1"/>
  <c r="N1330" i="1"/>
  <c r="M1330" i="1"/>
  <c r="O1329" i="1" a="1"/>
  <c r="O1329" i="1" s="1"/>
  <c r="N1329" i="1"/>
  <c r="M1329" i="1"/>
  <c r="O1328" i="1" a="1"/>
  <c r="O1328" i="1" s="1"/>
  <c r="N1328" i="1"/>
  <c r="M1328" i="1"/>
  <c r="O1327" i="1"/>
  <c r="O1327" i="1" a="1"/>
  <c r="N1327" i="1"/>
  <c r="M1327" i="1"/>
  <c r="O1326" i="1" a="1"/>
  <c r="O1326" i="1" s="1"/>
  <c r="N1326" i="1"/>
  <c r="M1326" i="1"/>
  <c r="O1325" i="1" a="1"/>
  <c r="O1325" i="1" s="1"/>
  <c r="N1325" i="1"/>
  <c r="M1325" i="1"/>
  <c r="O1324" i="1" a="1"/>
  <c r="O1324" i="1" s="1"/>
  <c r="N1324" i="1"/>
  <c r="M1324" i="1"/>
  <c r="O1323" i="1"/>
  <c r="O1323" i="1" a="1"/>
  <c r="N1323" i="1"/>
  <c r="M1323" i="1"/>
  <c r="O1322" i="1" a="1"/>
  <c r="O1322" i="1" s="1"/>
  <c r="N1322" i="1"/>
  <c r="M1322" i="1"/>
  <c r="O1321" i="1"/>
  <c r="O1321" i="1" a="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c r="O1315" i="1" a="1"/>
  <c r="N1315" i="1"/>
  <c r="M1315" i="1"/>
  <c r="O1314" i="1"/>
  <c r="O1314" i="1" a="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a="1"/>
  <c r="O1301" i="1" s="1"/>
  <c r="N1301" i="1"/>
  <c r="M1301" i="1"/>
  <c r="O1300" i="1"/>
  <c r="O1300" i="1" a="1"/>
  <c r="N1300" i="1"/>
  <c r="M1300" i="1"/>
  <c r="O1299" i="1" a="1"/>
  <c r="O1299" i="1" s="1"/>
  <c r="N1299" i="1"/>
  <c r="M1299" i="1"/>
  <c r="O1298" i="1" a="1"/>
  <c r="O1298" i="1" s="1"/>
  <c r="N1298" i="1"/>
  <c r="M1298" i="1"/>
  <c r="O1297" i="1" a="1"/>
  <c r="O1297" i="1" s="1"/>
  <c r="N1297" i="1"/>
  <c r="M1297" i="1"/>
  <c r="O1296" i="1"/>
  <c r="O1296" i="1" a="1"/>
  <c r="N1296" i="1"/>
  <c r="M1296" i="1"/>
  <c r="O1295" i="1" a="1"/>
  <c r="O1295" i="1" s="1"/>
  <c r="N1295" i="1"/>
  <c r="M1295" i="1"/>
  <c r="O1294" i="1" a="1"/>
  <c r="O1294" i="1" s="1"/>
  <c r="N1294" i="1"/>
  <c r="M1294" i="1"/>
  <c r="O1293" i="1" a="1"/>
  <c r="O1293" i="1" s="1"/>
  <c r="N1293" i="1"/>
  <c r="M1293" i="1"/>
  <c r="O1292" i="1" a="1"/>
  <c r="O1292" i="1" s="1"/>
  <c r="N1292" i="1"/>
  <c r="M1292" i="1"/>
  <c r="O1291" i="1"/>
  <c r="O1291" i="1" a="1"/>
  <c r="N1291" i="1"/>
  <c r="M1291" i="1"/>
  <c r="O1290" i="1" a="1"/>
  <c r="O1290" i="1" s="1"/>
  <c r="N1290" i="1"/>
  <c r="M1290" i="1"/>
  <c r="O1289" i="1" a="1"/>
  <c r="O1289" i="1" s="1"/>
  <c r="N1289" i="1"/>
  <c r="M1289" i="1"/>
  <c r="O1288" i="1" a="1"/>
  <c r="O1288" i="1" s="1"/>
  <c r="N1288" i="1"/>
  <c r="M1288" i="1"/>
  <c r="O1287" i="1"/>
  <c r="O1287" i="1" a="1"/>
  <c r="N1287" i="1"/>
  <c r="M1287" i="1"/>
  <c r="O1286" i="1" a="1"/>
  <c r="O1286" i="1" s="1"/>
  <c r="N1286" i="1"/>
  <c r="M1286" i="1"/>
  <c r="O1285" i="1"/>
  <c r="O1285" i="1" a="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c r="O1279" i="1" a="1"/>
  <c r="N1279" i="1"/>
  <c r="M1279" i="1"/>
  <c r="O1278" i="1"/>
  <c r="O1278" i="1" a="1"/>
  <c r="N1278" i="1"/>
  <c r="M1278" i="1"/>
  <c r="O1277" i="1" a="1"/>
  <c r="O1277" i="1" s="1"/>
  <c r="N1277" i="1"/>
  <c r="M1277" i="1"/>
  <c r="O1276" i="1" a="1"/>
  <c r="O1276" i="1" s="1"/>
  <c r="N1276" i="1"/>
  <c r="M1276" i="1"/>
  <c r="O1275" i="1" a="1"/>
  <c r="O1275" i="1" s="1"/>
  <c r="N1275" i="1"/>
  <c r="M1275" i="1"/>
  <c r="O1274" i="1" a="1"/>
  <c r="O1274" i="1" s="1"/>
  <c r="N1274" i="1"/>
  <c r="M1274" i="1"/>
  <c r="O1273" i="1"/>
  <c r="O1273" i="1" a="1"/>
  <c r="N1273" i="1"/>
  <c r="M1273" i="1"/>
  <c r="O1272" i="1"/>
  <c r="O1272" i="1" a="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c r="O1266" i="1" a="1"/>
  <c r="N1266" i="1"/>
  <c r="M1266" i="1"/>
  <c r="O1265" i="1" a="1"/>
  <c r="O1265" i="1" s="1"/>
  <c r="N1265" i="1"/>
  <c r="M1265" i="1"/>
  <c r="O1264" i="1"/>
  <c r="O1264" i="1" a="1"/>
  <c r="N1264" i="1"/>
  <c r="M1264" i="1"/>
  <c r="O1263" i="1" a="1"/>
  <c r="O1263" i="1" s="1"/>
  <c r="N1263" i="1"/>
  <c r="M1263" i="1"/>
  <c r="O1262" i="1" a="1"/>
  <c r="O1262" i="1" s="1"/>
  <c r="N1262" i="1"/>
  <c r="M1262" i="1"/>
  <c r="O1261" i="1" a="1"/>
  <c r="O1261" i="1" s="1"/>
  <c r="N1261" i="1"/>
  <c r="M1261" i="1"/>
  <c r="O1260" i="1"/>
  <c r="O1260" i="1" a="1"/>
  <c r="N1260" i="1"/>
  <c r="M1260" i="1"/>
  <c r="O1259" i="1" a="1"/>
  <c r="O1259" i="1" s="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a="1"/>
  <c r="O1252" i="1" s="1"/>
  <c r="N1252" i="1"/>
  <c r="M1252" i="1"/>
  <c r="O1251" i="1"/>
  <c r="O1251" i="1" a="1"/>
  <c r="N1251" i="1"/>
  <c r="M1251" i="1"/>
  <c r="O1250" i="1" a="1"/>
  <c r="O1250" i="1" s="1"/>
  <c r="N1250" i="1"/>
  <c r="M1250" i="1"/>
  <c r="O1249" i="1"/>
  <c r="O1249" i="1" a="1"/>
  <c r="N1249" i="1"/>
  <c r="M1249" i="1"/>
  <c r="O1248" i="1" a="1"/>
  <c r="O1248" i="1" s="1"/>
  <c r="N1248" i="1"/>
  <c r="M1248" i="1"/>
  <c r="O1247" i="1" a="1"/>
  <c r="O1247" i="1" s="1"/>
  <c r="N1247" i="1"/>
  <c r="M1247" i="1"/>
  <c r="O1246" i="1"/>
  <c r="O1246" i="1" a="1"/>
  <c r="N1246" i="1"/>
  <c r="M1246" i="1"/>
  <c r="O1245" i="1" a="1"/>
  <c r="O1245" i="1" s="1"/>
  <c r="N1245" i="1"/>
  <c r="M1245" i="1"/>
  <c r="O1244" i="1" a="1"/>
  <c r="O1244" i="1" s="1"/>
  <c r="N1244" i="1"/>
  <c r="M1244" i="1"/>
  <c r="O1243" i="1" a="1"/>
  <c r="O1243" i="1" s="1"/>
  <c r="N1243" i="1"/>
  <c r="M1243" i="1"/>
  <c r="O1242" i="1"/>
  <c r="O1242" i="1" a="1"/>
  <c r="N1242" i="1"/>
  <c r="M1242" i="1"/>
  <c r="O1241" i="1" a="1"/>
  <c r="O1241" i="1" s="1"/>
  <c r="N1241" i="1"/>
  <c r="M1241" i="1"/>
  <c r="O1240" i="1" a="1"/>
  <c r="O1240" i="1" s="1"/>
  <c r="N1240" i="1"/>
  <c r="M1240" i="1"/>
  <c r="O1239" i="1" a="1"/>
  <c r="O1239" i="1" s="1"/>
  <c r="N1239" i="1"/>
  <c r="M1239" i="1"/>
  <c r="O1238" i="1" a="1"/>
  <c r="O1238" i="1" s="1"/>
  <c r="N1238" i="1"/>
  <c r="M1238" i="1"/>
  <c r="O1237" i="1"/>
  <c r="O1237" i="1" a="1"/>
  <c r="N1237" i="1"/>
  <c r="M1237" i="1"/>
  <c r="O1236" i="1"/>
  <c r="O1236" i="1" a="1"/>
  <c r="N1236" i="1"/>
  <c r="M1236" i="1"/>
  <c r="O1235" i="1" a="1"/>
  <c r="O1235" i="1" s="1"/>
  <c r="N1235" i="1"/>
  <c r="M1235" i="1"/>
  <c r="O1234" i="1" a="1"/>
  <c r="O1234" i="1" s="1"/>
  <c r="N1234" i="1"/>
  <c r="M1234" i="1"/>
  <c r="O1233" i="1"/>
  <c r="O1233" i="1" a="1"/>
  <c r="N1233" i="1"/>
  <c r="M1233" i="1"/>
  <c r="O1232" i="1" a="1"/>
  <c r="O1232" i="1" s="1"/>
  <c r="N1232" i="1"/>
  <c r="M1232" i="1"/>
  <c r="O1231" i="1" a="1"/>
  <c r="O1231" i="1" s="1"/>
  <c r="N1231" i="1"/>
  <c r="M1231" i="1"/>
  <c r="O1230" i="1"/>
  <c r="O1230" i="1" a="1"/>
  <c r="N1230" i="1"/>
  <c r="M1230" i="1"/>
  <c r="O1229" i="1" a="1"/>
  <c r="O1229" i="1" s="1"/>
  <c r="N1229" i="1"/>
  <c r="M1229" i="1"/>
  <c r="O1228" i="1"/>
  <c r="O1228" i="1" a="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a="1"/>
  <c r="O1222" i="1" s="1"/>
  <c r="N1222" i="1"/>
  <c r="M1222" i="1"/>
  <c r="O1221" i="1"/>
  <c r="O1221" i="1" a="1"/>
  <c r="N1221" i="1"/>
  <c r="M1221" i="1"/>
  <c r="O1220" i="1" a="1"/>
  <c r="O1220" i="1" s="1"/>
  <c r="N1220" i="1"/>
  <c r="M1220" i="1"/>
  <c r="O1219" i="1"/>
  <c r="O1219" i="1" a="1"/>
  <c r="N1219" i="1"/>
  <c r="M1219" i="1"/>
  <c r="O1218" i="1"/>
  <c r="O1218" i="1" a="1"/>
  <c r="N1218" i="1"/>
  <c r="M1218" i="1"/>
  <c r="O1217" i="1" a="1"/>
  <c r="O1217" i="1" s="1"/>
  <c r="N1217" i="1"/>
  <c r="M1217" i="1"/>
  <c r="O1216" i="1"/>
  <c r="O1216" i="1" a="1"/>
  <c r="N1216" i="1"/>
  <c r="M1216" i="1"/>
  <c r="O1215" i="1" a="1"/>
  <c r="O1215" i="1" s="1"/>
  <c r="N1215" i="1"/>
  <c r="M1215" i="1"/>
  <c r="O1214" i="1" a="1"/>
  <c r="O1214" i="1" s="1"/>
  <c r="N1214" i="1"/>
  <c r="M1214" i="1"/>
  <c r="O1213" i="1" a="1"/>
  <c r="O1213" i="1" s="1"/>
  <c r="N1213" i="1"/>
  <c r="M1213" i="1"/>
  <c r="O1212" i="1"/>
  <c r="O1212" i="1" a="1"/>
  <c r="N1212" i="1"/>
  <c r="M1212" i="1"/>
  <c r="O1211" i="1" a="1"/>
  <c r="O1211" i="1" s="1"/>
  <c r="N1211" i="1"/>
  <c r="M1211" i="1"/>
  <c r="O1210" i="1" a="1"/>
  <c r="O1210" i="1" s="1"/>
  <c r="N1210" i="1"/>
  <c r="M1210" i="1"/>
  <c r="O1209" i="1"/>
  <c r="O1209" i="1" a="1"/>
  <c r="N1209" i="1"/>
  <c r="M1209" i="1"/>
  <c r="O1208" i="1" a="1"/>
  <c r="O1208" i="1" s="1"/>
  <c r="N1208" i="1"/>
  <c r="M1208" i="1"/>
  <c r="O1207" i="1"/>
  <c r="O1207" i="1" a="1"/>
  <c r="N1207" i="1"/>
  <c r="M1207" i="1"/>
  <c r="O1206" i="1" a="1"/>
  <c r="O1206" i="1" s="1"/>
  <c r="N1206" i="1"/>
  <c r="M1206" i="1"/>
  <c r="O1205" i="1" a="1"/>
  <c r="O1205" i="1" s="1"/>
  <c r="N1205" i="1"/>
  <c r="M1205" i="1"/>
  <c r="O1204" i="1" a="1"/>
  <c r="O1204" i="1" s="1"/>
  <c r="N1204" i="1"/>
  <c r="M1204" i="1"/>
  <c r="O1203" i="1"/>
  <c r="O1203" i="1" a="1"/>
  <c r="N1203" i="1"/>
  <c r="M1203" i="1"/>
  <c r="O1202" i="1" a="1"/>
  <c r="O1202" i="1" s="1"/>
  <c r="N1202" i="1"/>
  <c r="M1202" i="1"/>
  <c r="O1201" i="1"/>
  <c r="O1201" i="1" a="1"/>
  <c r="N1201" i="1"/>
  <c r="M1201" i="1"/>
  <c r="O1200" i="1" a="1"/>
  <c r="O1200" i="1" s="1"/>
  <c r="N1200" i="1"/>
  <c r="M1200" i="1"/>
  <c r="O1199" i="1" a="1"/>
  <c r="O1199" i="1" s="1"/>
  <c r="N1199" i="1"/>
  <c r="M1199" i="1"/>
  <c r="O1198" i="1"/>
  <c r="O1198" i="1" a="1"/>
  <c r="N1198" i="1"/>
  <c r="M1198" i="1"/>
  <c r="O1197" i="1" a="1"/>
  <c r="O1197" i="1" s="1"/>
  <c r="N1197" i="1"/>
  <c r="M1197" i="1"/>
  <c r="O1196" i="1" a="1"/>
  <c r="O1196" i="1" s="1"/>
  <c r="N1196" i="1"/>
  <c r="M1196" i="1"/>
  <c r="O1195" i="1"/>
  <c r="O1195" i="1" a="1"/>
  <c r="N1195" i="1"/>
  <c r="M1195" i="1"/>
  <c r="O1194" i="1"/>
  <c r="O1194" i="1" a="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c r="O1188" i="1" a="1"/>
  <c r="N1188" i="1"/>
  <c r="M1188" i="1"/>
  <c r="O1187" i="1" a="1"/>
  <c r="O1187" i="1" s="1"/>
  <c r="N1187" i="1"/>
  <c r="M1187" i="1"/>
  <c r="O1186" i="1"/>
  <c r="O1186" i="1" a="1"/>
  <c r="N1186" i="1"/>
  <c r="M1186" i="1"/>
  <c r="O1185" i="1"/>
  <c r="O1185" i="1" a="1"/>
  <c r="N1185" i="1"/>
  <c r="M1185" i="1"/>
  <c r="O1184" i="1" a="1"/>
  <c r="O1184" i="1" s="1"/>
  <c r="N1184" i="1"/>
  <c r="M1184" i="1"/>
  <c r="O1183" i="1" a="1"/>
  <c r="O1183" i="1" s="1"/>
  <c r="N1183" i="1"/>
  <c r="M1183" i="1"/>
  <c r="O1182" i="1"/>
  <c r="O1182" i="1" a="1"/>
  <c r="N1182" i="1"/>
  <c r="M1182" i="1"/>
  <c r="O1181" i="1" a="1"/>
  <c r="O1181" i="1" s="1"/>
  <c r="N1181" i="1"/>
  <c r="M1181" i="1"/>
  <c r="O1180" i="1"/>
  <c r="O1180" i="1" a="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c r="O1173" i="1" a="1"/>
  <c r="N1173" i="1"/>
  <c r="M1173" i="1"/>
  <c r="O1172" i="1" a="1"/>
  <c r="O1172" i="1" s="1"/>
  <c r="N1172" i="1"/>
  <c r="M1172" i="1"/>
  <c r="O1171" i="1"/>
  <c r="O1171" i="1" a="1"/>
  <c r="N1171" i="1"/>
  <c r="M1171" i="1"/>
  <c r="O1170" i="1" a="1"/>
  <c r="O1170" i="1" s="1"/>
  <c r="N1170" i="1"/>
  <c r="M1170" i="1"/>
  <c r="O1169" i="1" a="1"/>
  <c r="O1169" i="1" s="1"/>
  <c r="N1169" i="1"/>
  <c r="M1169" i="1"/>
  <c r="O1168" i="1" a="1"/>
  <c r="O1168" i="1" s="1"/>
  <c r="N1168" i="1"/>
  <c r="M1168" i="1"/>
  <c r="O1167" i="1"/>
  <c r="O1167" i="1" a="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a="1"/>
  <c r="O1161" i="1" s="1"/>
  <c r="N1161" i="1"/>
  <c r="M1161" i="1"/>
  <c r="O1160" i="1" a="1"/>
  <c r="O1160" i="1" s="1"/>
  <c r="N1160" i="1"/>
  <c r="M1160" i="1"/>
  <c r="O1159" i="1"/>
  <c r="O1159" i="1" a="1"/>
  <c r="N1159" i="1"/>
  <c r="M1159" i="1"/>
  <c r="O1158" i="1"/>
  <c r="O1158" i="1" a="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c r="O1152" i="1" a="1"/>
  <c r="N1152" i="1"/>
  <c r="M1152" i="1"/>
  <c r="O1151" i="1" a="1"/>
  <c r="O1151" i="1" s="1"/>
  <c r="N1151" i="1"/>
  <c r="M1151" i="1"/>
  <c r="O1150" i="1"/>
  <c r="O1150" i="1" a="1"/>
  <c r="N1150" i="1"/>
  <c r="M1150" i="1"/>
  <c r="O1149" i="1"/>
  <c r="O1149" i="1" a="1"/>
  <c r="N1149" i="1"/>
  <c r="M1149" i="1"/>
  <c r="O1148" i="1" a="1"/>
  <c r="O1148" i="1" s="1"/>
  <c r="N1148" i="1"/>
  <c r="M1148" i="1"/>
  <c r="O1147" i="1" a="1"/>
  <c r="O1147" i="1" s="1"/>
  <c r="N1147" i="1"/>
  <c r="M1147" i="1"/>
  <c r="O1146" i="1"/>
  <c r="O1146" i="1" a="1"/>
  <c r="N1146" i="1"/>
  <c r="M1146" i="1"/>
  <c r="O1145" i="1" a="1"/>
  <c r="O1145" i="1" s="1"/>
  <c r="N1145" i="1"/>
  <c r="M1145" i="1"/>
  <c r="O1144" i="1"/>
  <c r="O1144" i="1" a="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c r="O1137" i="1" a="1"/>
  <c r="N1137" i="1"/>
  <c r="M1137" i="1"/>
  <c r="O1136" i="1" a="1"/>
  <c r="O1136" i="1" s="1"/>
  <c r="N1136" i="1"/>
  <c r="M1136" i="1"/>
  <c r="O1135" i="1"/>
  <c r="O1135" i="1" a="1"/>
  <c r="N1135" i="1"/>
  <c r="M1135" i="1"/>
  <c r="O1134" i="1" a="1"/>
  <c r="O1134" i="1" s="1"/>
  <c r="N1134" i="1"/>
  <c r="M1134" i="1"/>
  <c r="O1133" i="1" a="1"/>
  <c r="O1133" i="1" s="1"/>
  <c r="N1133" i="1"/>
  <c r="M1133" i="1"/>
  <c r="O1132" i="1" a="1"/>
  <c r="O1132" i="1" s="1"/>
  <c r="N1132" i="1"/>
  <c r="M1132" i="1"/>
  <c r="O1131" i="1"/>
  <c r="O1131" i="1" a="1"/>
  <c r="N1131" i="1"/>
  <c r="M1131" i="1"/>
  <c r="O1130" i="1" a="1"/>
  <c r="O1130" i="1" s="1"/>
  <c r="N1130" i="1"/>
  <c r="M1130" i="1"/>
  <c r="O1129" i="1"/>
  <c r="O1129" i="1" a="1"/>
  <c r="N1129" i="1"/>
  <c r="M1129" i="1"/>
  <c r="O1128" i="1" a="1"/>
  <c r="O1128" i="1" s="1"/>
  <c r="N1128" i="1"/>
  <c r="M1128" i="1"/>
  <c r="O1127" i="1" a="1"/>
  <c r="O1127" i="1" s="1"/>
  <c r="N1127" i="1"/>
  <c r="M1127" i="1"/>
  <c r="O1126" i="1"/>
  <c r="O1126" i="1" a="1"/>
  <c r="N1126" i="1"/>
  <c r="M1126" i="1"/>
  <c r="O1125" i="1" a="1"/>
  <c r="O1125" i="1" s="1"/>
  <c r="N1125" i="1"/>
  <c r="M1125" i="1"/>
  <c r="O1124" i="1" a="1"/>
  <c r="O1124" i="1" s="1"/>
  <c r="N1124" i="1"/>
  <c r="M1124" i="1"/>
  <c r="O1123" i="1"/>
  <c r="O1123" i="1" a="1"/>
  <c r="N1123" i="1"/>
  <c r="M1123" i="1"/>
  <c r="O1122" i="1"/>
  <c r="O1122" i="1" a="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c r="O1116" i="1" a="1"/>
  <c r="N1116" i="1"/>
  <c r="M1116" i="1"/>
  <c r="O1115" i="1" a="1"/>
  <c r="O1115" i="1" s="1"/>
  <c r="N1115" i="1"/>
  <c r="M1115" i="1"/>
  <c r="O1114" i="1"/>
  <c r="O1114" i="1" a="1"/>
  <c r="N1114" i="1"/>
  <c r="M1114" i="1"/>
  <c r="O1113" i="1"/>
  <c r="O1113" i="1" a="1"/>
  <c r="N1113" i="1"/>
  <c r="M1113" i="1"/>
  <c r="O1112" i="1" a="1"/>
  <c r="O1112" i="1" s="1"/>
  <c r="N1112" i="1"/>
  <c r="M1112" i="1"/>
  <c r="O1111" i="1" a="1"/>
  <c r="O1111" i="1" s="1"/>
  <c r="N1111" i="1"/>
  <c r="M1111" i="1"/>
  <c r="O1110" i="1"/>
  <c r="O1110" i="1" a="1"/>
  <c r="N1110" i="1"/>
  <c r="M1110" i="1"/>
  <c r="O1109" i="1" a="1"/>
  <c r="O1109" i="1" s="1"/>
  <c r="N1109" i="1"/>
  <c r="M1109" i="1"/>
  <c r="O1108" i="1"/>
  <c r="O1108" i="1" a="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c r="O1101" i="1" a="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c r="O1095" i="1" a="1"/>
  <c r="N1095" i="1"/>
  <c r="M1095" i="1"/>
  <c r="O1094" i="1" a="1"/>
  <c r="O1094" i="1" s="1"/>
  <c r="N1094" i="1"/>
  <c r="M1094" i="1"/>
  <c r="O1093" i="1"/>
  <c r="O1093" i="1" a="1"/>
  <c r="N1093" i="1"/>
  <c r="M1093" i="1"/>
  <c r="O1092" i="1" a="1"/>
  <c r="O1092" i="1" s="1"/>
  <c r="N1092" i="1"/>
  <c r="M1092" i="1"/>
  <c r="O1091" i="1" a="1"/>
  <c r="O1091" i="1" s="1"/>
  <c r="N1091" i="1"/>
  <c r="M1091" i="1"/>
  <c r="O1090" i="1"/>
  <c r="O1090" i="1" a="1"/>
  <c r="N1090" i="1"/>
  <c r="M1090" i="1"/>
  <c r="O1089" i="1" a="1"/>
  <c r="O1089" i="1" s="1"/>
  <c r="N1089" i="1"/>
  <c r="M1089" i="1"/>
  <c r="O1088" i="1" a="1"/>
  <c r="O1088" i="1" s="1"/>
  <c r="N1088" i="1"/>
  <c r="M1088" i="1"/>
  <c r="O1087" i="1"/>
  <c r="O1087" i="1" a="1"/>
  <c r="N1087" i="1"/>
  <c r="M1087" i="1"/>
  <c r="O1086" i="1"/>
  <c r="O1086" i="1" a="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c r="O1080" i="1" a="1"/>
  <c r="N1080" i="1"/>
  <c r="M1080" i="1"/>
  <c r="O1079" i="1" a="1"/>
  <c r="O1079" i="1" s="1"/>
  <c r="N1079" i="1"/>
  <c r="M1079" i="1"/>
  <c r="O1078" i="1"/>
  <c r="O1078" i="1" a="1"/>
  <c r="N1078" i="1"/>
  <c r="M1078" i="1"/>
  <c r="O1077" i="1"/>
  <c r="O1077" i="1" a="1"/>
  <c r="N1077" i="1"/>
  <c r="M1077" i="1"/>
  <c r="O1076" i="1" a="1"/>
  <c r="O1076" i="1" s="1"/>
  <c r="N1076" i="1"/>
  <c r="M1076" i="1"/>
  <c r="O1075" i="1" a="1"/>
  <c r="O1075" i="1" s="1"/>
  <c r="N1075" i="1"/>
  <c r="M1075" i="1"/>
  <c r="O1074" i="1"/>
  <c r="O1074" i="1" a="1"/>
  <c r="N1074" i="1"/>
  <c r="M1074" i="1"/>
  <c r="O1073" i="1" a="1"/>
  <c r="O1073" i="1" s="1"/>
  <c r="N1073" i="1"/>
  <c r="M1073" i="1"/>
  <c r="O1072" i="1"/>
  <c r="O1072" i="1" a="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c r="O1065" i="1" a="1"/>
  <c r="N1065" i="1"/>
  <c r="M1065" i="1"/>
  <c r="O1064" i="1" a="1"/>
  <c r="O1064" i="1" s="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c r="O1057" i="1" a="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c r="O1051" i="1" a="1"/>
  <c r="N1051" i="1"/>
  <c r="M1051" i="1"/>
  <c r="O1050" i="1"/>
  <c r="O1050" i="1" a="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c r="O1044" i="1" a="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c r="O1038" i="1" a="1"/>
  <c r="N1038" i="1"/>
  <c r="M1038" i="1"/>
  <c r="O1037" i="1" a="1"/>
  <c r="O1037" i="1" s="1"/>
  <c r="N1037" i="1"/>
  <c r="M1037" i="1"/>
  <c r="O1036" i="1"/>
  <c r="O1036" i="1" a="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c r="O1029" i="1" a="1"/>
  <c r="N1029" i="1"/>
  <c r="M1029" i="1"/>
  <c r="O1028" i="1" a="1"/>
  <c r="O1028" i="1" s="1"/>
  <c r="N1028" i="1"/>
  <c r="M1028" i="1"/>
  <c r="O1027" i="1"/>
  <c r="O1027" i="1" a="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c r="O1015" i="1" a="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c r="O1008" i="1" a="1"/>
  <c r="N1008" i="1"/>
  <c r="M1008" i="1"/>
  <c r="O1007" i="1" a="1"/>
  <c r="O1007" i="1" s="1"/>
  <c r="N1007" i="1"/>
  <c r="M1007" i="1"/>
  <c r="O1006" i="1"/>
  <c r="O1006" i="1" a="1"/>
  <c r="N1006" i="1"/>
  <c r="M1006" i="1"/>
  <c r="O1005" i="1" a="1"/>
  <c r="O1005" i="1" s="1"/>
  <c r="N1005" i="1"/>
  <c r="M1005" i="1"/>
  <c r="O1004" i="1" a="1"/>
  <c r="O1004" i="1" s="1"/>
  <c r="N1004" i="1"/>
  <c r="M1004" i="1"/>
  <c r="O1003" i="1"/>
  <c r="O1003" i="1" a="1"/>
  <c r="N1003" i="1"/>
  <c r="M1003" i="1"/>
  <c r="O1002" i="1" a="1"/>
  <c r="O1002" i="1" s="1"/>
  <c r="N1002" i="1"/>
  <c r="M1002" i="1"/>
  <c r="O1001" i="1" a="1"/>
  <c r="O1001" i="1" s="1"/>
  <c r="N1001" i="1"/>
  <c r="M1001" i="1"/>
  <c r="O1000" i="1"/>
  <c r="O1000" i="1" a="1"/>
  <c r="N1000" i="1"/>
  <c r="M1000" i="1"/>
  <c r="O999" i="1" a="1"/>
  <c r="O999" i="1" s="1"/>
  <c r="N999" i="1"/>
  <c r="M999" i="1"/>
  <c r="O998" i="1" a="1"/>
  <c r="O998" i="1" s="1"/>
  <c r="N998" i="1"/>
  <c r="M998" i="1"/>
  <c r="O997" i="1"/>
  <c r="O997" i="1" a="1"/>
  <c r="N997" i="1"/>
  <c r="M997" i="1"/>
  <c r="O996" i="1" a="1"/>
  <c r="O996" i="1" s="1"/>
  <c r="N996" i="1"/>
  <c r="M996" i="1"/>
  <c r="O995" i="1" a="1"/>
  <c r="O995" i="1" s="1"/>
  <c r="N995" i="1"/>
  <c r="M995" i="1"/>
  <c r="O994" i="1"/>
  <c r="O994" i="1" a="1"/>
  <c r="N994" i="1"/>
  <c r="M994" i="1"/>
  <c r="O993" i="1" a="1"/>
  <c r="O993" i="1" s="1"/>
  <c r="N993" i="1"/>
  <c r="M993" i="1"/>
  <c r="O992" i="1" a="1"/>
  <c r="O992" i="1" s="1"/>
  <c r="N992" i="1"/>
  <c r="M992" i="1"/>
  <c r="O991" i="1"/>
  <c r="O991" i="1" a="1"/>
  <c r="N991" i="1"/>
  <c r="M991" i="1"/>
  <c r="O990" i="1" a="1"/>
  <c r="O990" i="1" s="1"/>
  <c r="N990" i="1"/>
  <c r="M990" i="1"/>
  <c r="O989" i="1" a="1"/>
  <c r="O989" i="1" s="1"/>
  <c r="N989" i="1"/>
  <c r="M989" i="1"/>
  <c r="O988" i="1"/>
  <c r="O988" i="1" a="1"/>
  <c r="N988" i="1"/>
  <c r="M988" i="1"/>
  <c r="O987" i="1" a="1"/>
  <c r="O987" i="1" s="1"/>
  <c r="N987" i="1"/>
  <c r="M987" i="1"/>
  <c r="O986" i="1" a="1"/>
  <c r="O986" i="1" s="1"/>
  <c r="N986" i="1"/>
  <c r="M986" i="1"/>
  <c r="O985" i="1"/>
  <c r="O985" i="1" a="1"/>
  <c r="N985" i="1"/>
  <c r="M985" i="1"/>
  <c r="O984" i="1" a="1"/>
  <c r="O984" i="1" s="1"/>
  <c r="N984" i="1"/>
  <c r="M984" i="1"/>
  <c r="O983" i="1" a="1"/>
  <c r="O983" i="1" s="1"/>
  <c r="N983" i="1"/>
  <c r="M983" i="1"/>
  <c r="O982" i="1"/>
  <c r="O982" i="1" a="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c r="O955" i="1" a="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c r="O919" i="1" a="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c r="O901" i="1" a="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c r="O883" i="1" a="1"/>
  <c r="N883" i="1"/>
  <c r="M883" i="1"/>
  <c r="O882" i="1"/>
  <c r="O882" i="1" a="1"/>
  <c r="N882" i="1"/>
  <c r="M882" i="1"/>
  <c r="O881" i="1" a="1"/>
  <c r="O881" i="1" s="1"/>
  <c r="N881" i="1"/>
  <c r="M881" i="1"/>
  <c r="O880" i="1"/>
  <c r="O880" i="1" a="1"/>
  <c r="N880" i="1"/>
  <c r="M880" i="1"/>
  <c r="O879" i="1" a="1"/>
  <c r="O879" i="1" s="1"/>
  <c r="N879" i="1"/>
  <c r="M879" i="1"/>
  <c r="O878" i="1" a="1"/>
  <c r="O878" i="1" s="1"/>
  <c r="N878" i="1"/>
  <c r="M878" i="1"/>
  <c r="O877" i="1" a="1"/>
  <c r="O877" i="1" s="1"/>
  <c r="N877" i="1"/>
  <c r="M877" i="1"/>
  <c r="O876" i="1"/>
  <c r="O876" i="1" a="1"/>
  <c r="N876" i="1"/>
  <c r="M876" i="1"/>
  <c r="O875" i="1" a="1"/>
  <c r="O875" i="1" s="1"/>
  <c r="N875" i="1"/>
  <c r="M875" i="1"/>
  <c r="O874" i="1" a="1"/>
  <c r="O874" i="1" s="1"/>
  <c r="N874" i="1"/>
  <c r="M874" i="1"/>
  <c r="O873" i="1" a="1"/>
  <c r="O873" i="1" s="1"/>
  <c r="N873" i="1"/>
  <c r="M873" i="1"/>
  <c r="O872" i="1" a="1"/>
  <c r="O872" i="1" s="1"/>
  <c r="N872" i="1"/>
  <c r="M872" i="1"/>
  <c r="O871" i="1"/>
  <c r="O871" i="1" a="1"/>
  <c r="N871" i="1"/>
  <c r="M871" i="1"/>
  <c r="O870" i="1"/>
  <c r="O870" i="1" a="1"/>
  <c r="N870" i="1"/>
  <c r="M870" i="1"/>
  <c r="O869" i="1" a="1"/>
  <c r="O869" i="1" s="1"/>
  <c r="N869" i="1"/>
  <c r="M869" i="1"/>
  <c r="O868" i="1" a="1"/>
  <c r="O868" i="1" s="1"/>
  <c r="N868" i="1"/>
  <c r="M868" i="1"/>
  <c r="O867" i="1"/>
  <c r="O867" i="1" a="1"/>
  <c r="N867" i="1"/>
  <c r="M867" i="1"/>
  <c r="O866" i="1" a="1"/>
  <c r="O866" i="1" s="1"/>
  <c r="N866" i="1"/>
  <c r="M866" i="1"/>
  <c r="O865" i="1"/>
  <c r="O865" i="1" a="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c r="O859" i="1" a="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c r="O852" i="1" a="1"/>
  <c r="N852" i="1"/>
  <c r="M852" i="1"/>
  <c r="O851" i="1" a="1"/>
  <c r="O851" i="1" s="1"/>
  <c r="N851" i="1"/>
  <c r="M851" i="1"/>
  <c r="O850" i="1" a="1"/>
  <c r="O850" i="1" s="1"/>
  <c r="N850" i="1"/>
  <c r="M850" i="1"/>
  <c r="O849" i="1" a="1"/>
  <c r="O849" i="1" s="1"/>
  <c r="N849" i="1"/>
  <c r="M849" i="1"/>
  <c r="O848" i="1" a="1"/>
  <c r="O848" i="1" s="1"/>
  <c r="N848" i="1"/>
  <c r="M848" i="1"/>
  <c r="O847" i="1"/>
  <c r="O847" i="1" a="1"/>
  <c r="N847" i="1"/>
  <c r="M847" i="1"/>
  <c r="O846" i="1"/>
  <c r="O846" i="1" a="1"/>
  <c r="N846" i="1"/>
  <c r="M846" i="1"/>
  <c r="O845" i="1" a="1"/>
  <c r="O845" i="1" s="1"/>
  <c r="N845" i="1"/>
  <c r="M845" i="1"/>
  <c r="O844" i="1"/>
  <c r="O844" i="1" a="1"/>
  <c r="N844" i="1"/>
  <c r="M844" i="1"/>
  <c r="O843" i="1" a="1"/>
  <c r="O843" i="1" s="1"/>
  <c r="N843" i="1"/>
  <c r="M843" i="1"/>
  <c r="O842" i="1" a="1"/>
  <c r="O842" i="1" s="1"/>
  <c r="N842" i="1"/>
  <c r="M842" i="1"/>
  <c r="O841" i="1" a="1"/>
  <c r="O841" i="1" s="1"/>
  <c r="N841" i="1"/>
  <c r="M841" i="1"/>
  <c r="O840" i="1"/>
  <c r="O840" i="1" a="1"/>
  <c r="N840" i="1"/>
  <c r="M840" i="1"/>
  <c r="O839" i="1" a="1"/>
  <c r="O839" i="1" s="1"/>
  <c r="N839" i="1"/>
  <c r="M839" i="1"/>
  <c r="O838" i="1" a="1"/>
  <c r="O838" i="1" s="1"/>
  <c r="N838" i="1"/>
  <c r="M838" i="1"/>
  <c r="O837" i="1" a="1"/>
  <c r="O837" i="1" s="1"/>
  <c r="N837" i="1"/>
  <c r="M837" i="1"/>
  <c r="O836" i="1" a="1"/>
  <c r="O836" i="1" s="1"/>
  <c r="N836" i="1"/>
  <c r="M836" i="1"/>
  <c r="O835" i="1"/>
  <c r="O835" i="1" a="1"/>
  <c r="N835" i="1"/>
  <c r="M835" i="1"/>
  <c r="O834" i="1"/>
  <c r="O834" i="1" a="1"/>
  <c r="N834" i="1"/>
  <c r="M834" i="1"/>
  <c r="O833" i="1" a="1"/>
  <c r="O833" i="1" s="1"/>
  <c r="N833" i="1"/>
  <c r="M833" i="1"/>
  <c r="O832" i="1" a="1"/>
  <c r="O832" i="1" s="1"/>
  <c r="N832" i="1"/>
  <c r="M832" i="1"/>
  <c r="O831" i="1"/>
  <c r="O831" i="1" a="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c r="O822" i="1" a="1"/>
  <c r="N822" i="1"/>
  <c r="M822" i="1"/>
  <c r="O821" i="1" a="1"/>
  <c r="O821" i="1" s="1"/>
  <c r="N821" i="1"/>
  <c r="M821" i="1"/>
  <c r="O820" i="1" a="1"/>
  <c r="O820" i="1" s="1"/>
  <c r="N820" i="1"/>
  <c r="M820" i="1"/>
  <c r="O819" i="1" a="1"/>
  <c r="O819" i="1" s="1"/>
  <c r="N819" i="1"/>
  <c r="M819" i="1"/>
  <c r="O818" i="1" a="1"/>
  <c r="O818" i="1" s="1"/>
  <c r="N818" i="1"/>
  <c r="M818" i="1"/>
  <c r="O817" i="1"/>
  <c r="O817" i="1" a="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c r="O811" i="1" a="1"/>
  <c r="N811" i="1"/>
  <c r="M811" i="1"/>
  <c r="O810" i="1"/>
  <c r="O810" i="1" a="1"/>
  <c r="N810" i="1"/>
  <c r="M810" i="1"/>
  <c r="O809" i="1" a="1"/>
  <c r="O809" i="1" s="1"/>
  <c r="N809" i="1"/>
  <c r="M809" i="1"/>
  <c r="O808" i="1"/>
  <c r="O808" i="1" a="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c r="O799" i="1" a="1"/>
  <c r="N799" i="1"/>
  <c r="M799" i="1"/>
  <c r="O798" i="1"/>
  <c r="O798" i="1" a="1"/>
  <c r="N798" i="1"/>
  <c r="M798" i="1"/>
  <c r="O797" i="1" a="1"/>
  <c r="O797" i="1" s="1"/>
  <c r="N797" i="1"/>
  <c r="M797" i="1"/>
  <c r="O796" i="1" a="1"/>
  <c r="O796" i="1" s="1"/>
  <c r="N796" i="1"/>
  <c r="M796" i="1"/>
  <c r="O795" i="1"/>
  <c r="O795" i="1" a="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a="1"/>
  <c r="O775" i="1" s="1"/>
  <c r="N775" i="1"/>
  <c r="M775" i="1"/>
  <c r="O774" i="1"/>
  <c r="O774" i="1" a="1"/>
  <c r="N774" i="1"/>
  <c r="M774" i="1"/>
  <c r="O773" i="1"/>
  <c r="O773" i="1" a="1"/>
  <c r="N773" i="1"/>
  <c r="M773" i="1"/>
  <c r="O772" i="1" a="1"/>
  <c r="O772" i="1" s="1"/>
  <c r="N772" i="1"/>
  <c r="M772" i="1"/>
  <c r="O771" i="1"/>
  <c r="O771" i="1" a="1"/>
  <c r="N771" i="1"/>
  <c r="M771" i="1"/>
  <c r="O770" i="1"/>
  <c r="O770" i="1" a="1"/>
  <c r="N770" i="1"/>
  <c r="M770" i="1"/>
  <c r="O769" i="1" a="1"/>
  <c r="O769" i="1" s="1"/>
  <c r="N769" i="1"/>
  <c r="M769" i="1"/>
  <c r="O768" i="1"/>
  <c r="O768" i="1" a="1"/>
  <c r="N768" i="1"/>
  <c r="M768" i="1"/>
  <c r="O767" i="1"/>
  <c r="O767" i="1" a="1"/>
  <c r="N767" i="1"/>
  <c r="M767" i="1"/>
  <c r="O766" i="1" a="1"/>
  <c r="O766" i="1" s="1"/>
  <c r="N766" i="1"/>
  <c r="M766" i="1"/>
  <c r="O765" i="1"/>
  <c r="O765" i="1" a="1"/>
  <c r="N765" i="1"/>
  <c r="M765" i="1"/>
  <c r="O764" i="1"/>
  <c r="O764" i="1" a="1"/>
  <c r="N764" i="1"/>
  <c r="M764" i="1"/>
  <c r="O763" i="1" a="1"/>
  <c r="O763" i="1" s="1"/>
  <c r="N763" i="1"/>
  <c r="M763" i="1"/>
  <c r="O762" i="1"/>
  <c r="O762" i="1" a="1"/>
  <c r="N762" i="1"/>
  <c r="M762" i="1"/>
  <c r="O761" i="1"/>
  <c r="O761" i="1" a="1"/>
  <c r="N761" i="1"/>
  <c r="M761" i="1"/>
  <c r="O760" i="1" a="1"/>
  <c r="O760" i="1" s="1"/>
  <c r="N760" i="1"/>
  <c r="M760" i="1"/>
  <c r="O759" i="1"/>
  <c r="O759" i="1" a="1"/>
  <c r="N759" i="1"/>
  <c r="M759" i="1"/>
  <c r="O758" i="1"/>
  <c r="O758" i="1" a="1"/>
  <c r="N758" i="1"/>
  <c r="M758" i="1"/>
  <c r="O757" i="1" a="1"/>
  <c r="O757" i="1" s="1"/>
  <c r="N757" i="1"/>
  <c r="M757" i="1"/>
  <c r="O756" i="1"/>
  <c r="O756" i="1" a="1"/>
  <c r="N756" i="1"/>
  <c r="M756" i="1"/>
  <c r="O755" i="1"/>
  <c r="O755" i="1" a="1"/>
  <c r="N755" i="1"/>
  <c r="M755" i="1"/>
  <c r="O754" i="1" a="1"/>
  <c r="O754" i="1" s="1"/>
  <c r="N754" i="1"/>
  <c r="M754" i="1"/>
  <c r="O753" i="1"/>
  <c r="O753" i="1" a="1"/>
  <c r="N753" i="1"/>
  <c r="M753" i="1"/>
  <c r="O752" i="1"/>
  <c r="O752" i="1" a="1"/>
  <c r="N752" i="1"/>
  <c r="M752" i="1"/>
  <c r="O751" i="1" a="1"/>
  <c r="O751" i="1" s="1"/>
  <c r="N751" i="1"/>
  <c r="M751" i="1"/>
  <c r="O750" i="1"/>
  <c r="O750" i="1" a="1"/>
  <c r="N750" i="1"/>
  <c r="M750" i="1"/>
  <c r="O749" i="1" a="1"/>
  <c r="O749" i="1" s="1"/>
  <c r="N749" i="1"/>
  <c r="M749" i="1"/>
  <c r="O748" i="1" a="1"/>
  <c r="O748" i="1" s="1"/>
  <c r="N748" i="1"/>
  <c r="M748" i="1"/>
  <c r="O747" i="1"/>
  <c r="O747" i="1" a="1"/>
  <c r="N747" i="1"/>
  <c r="M747" i="1"/>
  <c r="O746" i="1" a="1"/>
  <c r="O746" i="1" s="1"/>
  <c r="N746" i="1"/>
  <c r="M746" i="1"/>
  <c r="O745" i="1" a="1"/>
  <c r="O745" i="1" s="1"/>
  <c r="N745" i="1"/>
  <c r="M745" i="1"/>
  <c r="O744" i="1"/>
  <c r="O744" i="1" a="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c r="O738" i="1" a="1"/>
  <c r="N738" i="1"/>
  <c r="M738" i="1"/>
  <c r="O737" i="1" a="1"/>
  <c r="O737" i="1" s="1"/>
  <c r="N737" i="1"/>
  <c r="M737" i="1"/>
  <c r="O736" i="1" a="1"/>
  <c r="O736" i="1" s="1"/>
  <c r="N736" i="1"/>
  <c r="M736" i="1"/>
  <c r="O735" i="1"/>
  <c r="O735" i="1" a="1"/>
  <c r="N735" i="1"/>
  <c r="M735" i="1"/>
  <c r="O734" i="1" a="1"/>
  <c r="O734" i="1" s="1"/>
  <c r="N734" i="1"/>
  <c r="M734" i="1"/>
  <c r="O733" i="1" a="1"/>
  <c r="O733" i="1" s="1"/>
  <c r="N733" i="1"/>
  <c r="M733" i="1"/>
  <c r="O732" i="1"/>
  <c r="O732" i="1" a="1"/>
  <c r="N732" i="1"/>
  <c r="M732" i="1"/>
  <c r="O731" i="1" a="1"/>
  <c r="O731" i="1" s="1"/>
  <c r="N731" i="1"/>
  <c r="M731" i="1"/>
  <c r="O730" i="1" a="1"/>
  <c r="O730" i="1" s="1"/>
  <c r="N730" i="1"/>
  <c r="M730" i="1"/>
  <c r="O729" i="1"/>
  <c r="O729" i="1" a="1"/>
  <c r="N729" i="1"/>
  <c r="M729" i="1"/>
  <c r="O728" i="1" a="1"/>
  <c r="O728" i="1" s="1"/>
  <c r="N728" i="1"/>
  <c r="M728" i="1"/>
  <c r="O727" i="1" a="1"/>
  <c r="O727" i="1" s="1"/>
  <c r="N727" i="1"/>
  <c r="M727" i="1"/>
  <c r="O726" i="1"/>
  <c r="O726" i="1" a="1"/>
  <c r="N726" i="1"/>
  <c r="M726" i="1"/>
  <c r="O725" i="1" a="1"/>
  <c r="O725" i="1" s="1"/>
  <c r="N725" i="1"/>
  <c r="M725" i="1"/>
  <c r="O724" i="1" a="1"/>
  <c r="O724" i="1" s="1"/>
  <c r="N724" i="1"/>
  <c r="M724" i="1"/>
  <c r="O723" i="1"/>
  <c r="O723" i="1" a="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c r="O717" i="1" a="1"/>
  <c r="N717" i="1"/>
  <c r="M717" i="1"/>
  <c r="O716" i="1" a="1"/>
  <c r="O716" i="1" s="1"/>
  <c r="N716" i="1"/>
  <c r="M716" i="1"/>
  <c r="O715" i="1" a="1"/>
  <c r="O715" i="1" s="1"/>
  <c r="N715" i="1"/>
  <c r="M715" i="1"/>
  <c r="O714" i="1"/>
  <c r="O714" i="1" a="1"/>
  <c r="N714" i="1"/>
  <c r="M714" i="1"/>
  <c r="O713" i="1" a="1"/>
  <c r="O713" i="1" s="1"/>
  <c r="N713" i="1"/>
  <c r="M713" i="1"/>
  <c r="O712" i="1" a="1"/>
  <c r="O712" i="1" s="1"/>
  <c r="N712" i="1"/>
  <c r="M712" i="1"/>
  <c r="O711" i="1"/>
  <c r="O711" i="1" a="1"/>
  <c r="N711" i="1"/>
  <c r="M711" i="1"/>
  <c r="O710" i="1" a="1"/>
  <c r="O710" i="1" s="1"/>
  <c r="N710" i="1"/>
  <c r="M710" i="1"/>
  <c r="O709" i="1" a="1"/>
  <c r="O709" i="1" s="1"/>
  <c r="N709" i="1"/>
  <c r="M709" i="1"/>
  <c r="O708" i="1"/>
  <c r="O708" i="1" a="1"/>
  <c r="N708" i="1"/>
  <c r="M708" i="1"/>
  <c r="O707" i="1" a="1"/>
  <c r="O707" i="1" s="1"/>
  <c r="N707" i="1"/>
  <c r="M707" i="1"/>
  <c r="O706" i="1" a="1"/>
  <c r="O706" i="1" s="1"/>
  <c r="N706" i="1"/>
  <c r="M706" i="1"/>
  <c r="O705" i="1"/>
  <c r="O705" i="1" a="1"/>
  <c r="N705" i="1"/>
  <c r="M705" i="1"/>
  <c r="O704" i="1" a="1"/>
  <c r="O704" i="1" s="1"/>
  <c r="N704" i="1"/>
  <c r="M704" i="1"/>
  <c r="O703" i="1" a="1"/>
  <c r="O703" i="1" s="1"/>
  <c r="N703" i="1"/>
  <c r="M703" i="1"/>
  <c r="O702" i="1"/>
  <c r="O702" i="1" a="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c r="O696" i="1" a="1"/>
  <c r="N696" i="1"/>
  <c r="M696" i="1"/>
  <c r="O695" i="1" a="1"/>
  <c r="O695" i="1" s="1"/>
  <c r="N695" i="1"/>
  <c r="M695" i="1"/>
  <c r="O694" i="1" a="1"/>
  <c r="O694" i="1" s="1"/>
  <c r="N694" i="1"/>
  <c r="M694" i="1"/>
  <c r="O693" i="1"/>
  <c r="O693" i="1" a="1"/>
  <c r="N693" i="1"/>
  <c r="M693" i="1"/>
  <c r="O692" i="1" a="1"/>
  <c r="O692" i="1" s="1"/>
  <c r="N692" i="1"/>
  <c r="M692" i="1"/>
  <c r="O691" i="1" a="1"/>
  <c r="O691" i="1" s="1"/>
  <c r="N691" i="1"/>
  <c r="M691" i="1"/>
  <c r="O690" i="1"/>
  <c r="O690" i="1" a="1"/>
  <c r="N690" i="1"/>
  <c r="M690" i="1"/>
  <c r="O689" i="1" a="1"/>
  <c r="O689" i="1" s="1"/>
  <c r="N689" i="1"/>
  <c r="M689" i="1"/>
  <c r="O688" i="1" a="1"/>
  <c r="O688" i="1" s="1"/>
  <c r="N688" i="1"/>
  <c r="M688" i="1"/>
  <c r="O687" i="1"/>
  <c r="O687" i="1" a="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c r="O672" i="1" a="1"/>
  <c r="N672" i="1"/>
  <c r="M672" i="1"/>
  <c r="O671" i="1" a="1"/>
  <c r="O671" i="1" s="1"/>
  <c r="N671" i="1"/>
  <c r="M671" i="1"/>
  <c r="O670" i="1" a="1"/>
  <c r="O670" i="1" s="1"/>
  <c r="N670" i="1"/>
  <c r="M670" i="1"/>
  <c r="O669" i="1"/>
  <c r="O669" i="1" a="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c r="O660" i="1" a="1"/>
  <c r="N660" i="1"/>
  <c r="M660" i="1"/>
  <c r="O659" i="1" a="1"/>
  <c r="O659" i="1" s="1"/>
  <c r="N659" i="1"/>
  <c r="M659" i="1"/>
  <c r="O658" i="1" a="1"/>
  <c r="O658" i="1" s="1"/>
  <c r="N658" i="1"/>
  <c r="M658" i="1"/>
  <c r="O657" i="1"/>
  <c r="O657" i="1" a="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c r="O651" i="1" a="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c r="O642" i="1" a="1"/>
  <c r="N642" i="1"/>
  <c r="M642" i="1"/>
  <c r="O641" i="1" a="1"/>
  <c r="O641" i="1" s="1"/>
  <c r="N641" i="1"/>
  <c r="M641" i="1"/>
  <c r="O640" i="1" a="1"/>
  <c r="O640" i="1" s="1"/>
  <c r="N640" i="1"/>
  <c r="M640" i="1"/>
  <c r="O639" i="1"/>
  <c r="O639" i="1" a="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c r="O624" i="1" a="1"/>
  <c r="N624" i="1"/>
  <c r="M624" i="1"/>
  <c r="O623" i="1" a="1"/>
  <c r="O623" i="1" s="1"/>
  <c r="N623" i="1"/>
  <c r="M623" i="1"/>
  <c r="O622" i="1" a="1"/>
  <c r="O622" i="1" s="1"/>
  <c r="N622" i="1"/>
  <c r="M622" i="1"/>
  <c r="O621" i="1"/>
  <c r="O621" i="1" a="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c r="O606" i="1" a="1"/>
  <c r="N606" i="1"/>
  <c r="M606" i="1"/>
  <c r="O605" i="1" a="1"/>
  <c r="O605" i="1" s="1"/>
  <c r="N605" i="1"/>
  <c r="M605" i="1"/>
  <c r="O604" i="1" a="1"/>
  <c r="O604" i="1" s="1"/>
  <c r="N604" i="1"/>
  <c r="M604" i="1"/>
  <c r="O603" i="1"/>
  <c r="O603" i="1" a="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c r="O597" i="1" a="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c r="O588" i="1" a="1"/>
  <c r="N588" i="1"/>
  <c r="M588" i="1"/>
  <c r="O587" i="1" a="1"/>
  <c r="O587" i="1" s="1"/>
  <c r="N587" i="1"/>
  <c r="M587" i="1"/>
  <c r="O586" i="1" a="1"/>
  <c r="O586" i="1" s="1"/>
  <c r="N586" i="1"/>
  <c r="M586" i="1"/>
  <c r="O585" i="1"/>
  <c r="O585" i="1" a="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c r="O579" i="1" a="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c r="O570" i="1" a="1"/>
  <c r="N570" i="1"/>
  <c r="M570" i="1"/>
  <c r="O569" i="1" a="1"/>
  <c r="O569" i="1" s="1"/>
  <c r="N569" i="1"/>
  <c r="M569" i="1"/>
  <c r="O568" i="1" a="1"/>
  <c r="O568" i="1" s="1"/>
  <c r="N568" i="1"/>
  <c r="M568" i="1"/>
  <c r="O567" i="1"/>
  <c r="O567" i="1" a="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c r="O561" i="1" a="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c r="O549" i="1" a="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c r="O534" i="1" a="1"/>
  <c r="N534" i="1"/>
  <c r="M534" i="1"/>
  <c r="O533" i="1" a="1"/>
  <c r="O533" i="1" s="1"/>
  <c r="N533" i="1"/>
  <c r="M533" i="1"/>
  <c r="O532" i="1" a="1"/>
  <c r="O532" i="1" s="1"/>
  <c r="N532" i="1"/>
  <c r="M532" i="1"/>
  <c r="O531" i="1"/>
  <c r="O531" i="1" a="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c r="O525" i="1" a="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c r="O516" i="1" a="1"/>
  <c r="N516" i="1"/>
  <c r="M516" i="1"/>
  <c r="O515" i="1" a="1"/>
  <c r="O515" i="1" s="1"/>
  <c r="N515" i="1"/>
  <c r="M515" i="1"/>
  <c r="O514" i="1" a="1"/>
  <c r="O514" i="1" s="1"/>
  <c r="N514" i="1"/>
  <c r="M514" i="1"/>
  <c r="O513" i="1"/>
  <c r="O513" i="1" a="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c r="O498" i="1" a="1"/>
  <c r="N498" i="1"/>
  <c r="M498" i="1"/>
  <c r="O497" i="1" a="1"/>
  <c r="O497" i="1" s="1"/>
  <c r="N497" i="1"/>
  <c r="M497" i="1"/>
  <c r="O496" i="1" a="1"/>
  <c r="O496" i="1" s="1"/>
  <c r="N496" i="1"/>
  <c r="M496" i="1"/>
  <c r="O495" i="1"/>
  <c r="O495" i="1" a="1"/>
  <c r="N495" i="1"/>
  <c r="M495" i="1"/>
  <c r="O494" i="1" a="1"/>
  <c r="O494" i="1" s="1"/>
  <c r="N494" i="1"/>
  <c r="M494" i="1"/>
  <c r="O493" i="1" a="1"/>
  <c r="O493" i="1" s="1"/>
  <c r="N493" i="1"/>
  <c r="M493" i="1"/>
  <c r="O492" i="1"/>
  <c r="O492" i="1" a="1"/>
  <c r="N492" i="1"/>
  <c r="M492" i="1"/>
  <c r="O491" i="1" a="1"/>
  <c r="O491" i="1" s="1"/>
  <c r="N491" i="1"/>
  <c r="M491" i="1"/>
  <c r="O490" i="1" a="1"/>
  <c r="O490" i="1" s="1"/>
  <c r="N490" i="1"/>
  <c r="M490" i="1"/>
  <c r="O489" i="1" a="1"/>
  <c r="O489" i="1" s="1"/>
  <c r="N489" i="1"/>
  <c r="M489" i="1"/>
  <c r="O488" i="1"/>
  <c r="O488" i="1" a="1"/>
  <c r="N488" i="1"/>
  <c r="M488" i="1"/>
  <c r="O487" i="1" a="1"/>
  <c r="O487" i="1" s="1"/>
  <c r="N487" i="1"/>
  <c r="M487" i="1"/>
  <c r="O486" i="1" a="1"/>
  <c r="O486" i="1" s="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c r="O474" i="1" a="1"/>
  <c r="N474" i="1"/>
  <c r="M474" i="1"/>
  <c r="O473" i="1" a="1"/>
  <c r="O473" i="1" s="1"/>
  <c r="N473" i="1"/>
  <c r="M473" i="1"/>
  <c r="O472" i="1" a="1"/>
  <c r="O472" i="1" s="1"/>
  <c r="N472" i="1"/>
  <c r="M472" i="1"/>
  <c r="O471" i="1" a="1"/>
  <c r="O471" i="1" s="1"/>
  <c r="N471" i="1"/>
  <c r="M471" i="1"/>
  <c r="O470" i="1"/>
  <c r="O470" i="1" a="1"/>
  <c r="N470" i="1"/>
  <c r="M470" i="1"/>
  <c r="O469" i="1" a="1"/>
  <c r="O469" i="1" s="1"/>
  <c r="N469" i="1"/>
  <c r="M469" i="1"/>
  <c r="O468" i="1" a="1"/>
  <c r="O468" i="1" s="1"/>
  <c r="N468" i="1"/>
  <c r="M468" i="1"/>
  <c r="O467" i="1" a="1"/>
  <c r="O467" i="1" s="1"/>
  <c r="N467" i="1"/>
  <c r="M467" i="1"/>
  <c r="O466" i="1" a="1"/>
  <c r="O466" i="1" s="1"/>
  <c r="N466" i="1"/>
  <c r="M466" i="1"/>
  <c r="O465" i="1"/>
  <c r="O465" i="1" a="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c r="O459" i="1" a="1"/>
  <c r="N459" i="1"/>
  <c r="M459" i="1"/>
  <c r="O458" i="1" a="1"/>
  <c r="O458" i="1" s="1"/>
  <c r="N458" i="1"/>
  <c r="M458" i="1"/>
  <c r="O457" i="1" a="1"/>
  <c r="O457" i="1" s="1"/>
  <c r="N457" i="1"/>
  <c r="M457" i="1"/>
  <c r="O456" i="1"/>
  <c r="O456" i="1" a="1"/>
  <c r="N456" i="1"/>
  <c r="M456" i="1"/>
  <c r="O455" i="1" a="1"/>
  <c r="O455" i="1" s="1"/>
  <c r="N455" i="1"/>
  <c r="M455" i="1"/>
  <c r="O454" i="1" a="1"/>
  <c r="O454" i="1" s="1"/>
  <c r="N454" i="1"/>
  <c r="M454" i="1"/>
  <c r="O453" i="1" a="1"/>
  <c r="O453" i="1" s="1"/>
  <c r="N453" i="1"/>
  <c r="M453" i="1"/>
  <c r="O452" i="1"/>
  <c r="O452" i="1" a="1"/>
  <c r="N452" i="1"/>
  <c r="M452" i="1"/>
  <c r="O451" i="1" a="1"/>
  <c r="O451" i="1" s="1"/>
  <c r="N451" i="1"/>
  <c r="M451" i="1"/>
  <c r="O450" i="1" a="1"/>
  <c r="O450" i="1" s="1"/>
  <c r="N450" i="1"/>
  <c r="M450" i="1"/>
  <c r="O449" i="1" a="1"/>
  <c r="O449" i="1" s="1"/>
  <c r="N449" i="1"/>
  <c r="M449" i="1"/>
  <c r="O448" i="1" a="1"/>
  <c r="O448" i="1" s="1"/>
  <c r="N448" i="1"/>
  <c r="M448" i="1"/>
  <c r="O447" i="1"/>
  <c r="O447" i="1" a="1"/>
  <c r="N447" i="1"/>
  <c r="M447" i="1"/>
  <c r="O446" i="1"/>
  <c r="O446" i="1" a="1"/>
  <c r="N446" i="1"/>
  <c r="M446" i="1"/>
  <c r="O445" i="1" a="1"/>
  <c r="O445" i="1" s="1"/>
  <c r="N445" i="1"/>
  <c r="M445" i="1"/>
  <c r="O444" i="1" a="1"/>
  <c r="O444" i="1" s="1"/>
  <c r="N444" i="1"/>
  <c r="M444" i="1"/>
  <c r="O443" i="1"/>
  <c r="O443" i="1" a="1"/>
  <c r="N443" i="1"/>
  <c r="M443" i="1"/>
  <c r="O442" i="1" a="1"/>
  <c r="O442" i="1" s="1"/>
  <c r="N442" i="1"/>
  <c r="M442" i="1"/>
  <c r="O441" i="1" a="1"/>
  <c r="O441" i="1" s="1"/>
  <c r="N441" i="1"/>
  <c r="M441" i="1"/>
  <c r="O440" i="1" a="1"/>
  <c r="O440" i="1" s="1"/>
  <c r="N440" i="1"/>
  <c r="M440" i="1"/>
  <c r="O439" i="1" a="1"/>
  <c r="O439" i="1" s="1"/>
  <c r="N439" i="1"/>
  <c r="M439" i="1"/>
  <c r="O438" i="1"/>
  <c r="O438" i="1" a="1"/>
  <c r="N438" i="1"/>
  <c r="M438" i="1"/>
  <c r="O437" i="1" a="1"/>
  <c r="O437" i="1" s="1"/>
  <c r="N437" i="1"/>
  <c r="M437" i="1"/>
  <c r="O436" i="1" a="1"/>
  <c r="O436" i="1" s="1"/>
  <c r="N436" i="1"/>
  <c r="M436" i="1"/>
  <c r="O435" i="1" a="1"/>
  <c r="O435" i="1" s="1"/>
  <c r="N435" i="1"/>
  <c r="M435" i="1"/>
  <c r="O434" i="1"/>
  <c r="O434" i="1" a="1"/>
  <c r="N434" i="1"/>
  <c r="M434" i="1"/>
  <c r="O433" i="1" a="1"/>
  <c r="O433" i="1" s="1"/>
  <c r="N433" i="1"/>
  <c r="M433" i="1"/>
  <c r="O432" i="1" a="1"/>
  <c r="O432" i="1" s="1"/>
  <c r="N432" i="1"/>
  <c r="M432" i="1"/>
  <c r="O431" i="1" a="1"/>
  <c r="O431" i="1" s="1"/>
  <c r="N431" i="1"/>
  <c r="M431" i="1"/>
  <c r="O430" i="1" a="1"/>
  <c r="O430" i="1" s="1"/>
  <c r="N430" i="1"/>
  <c r="M430" i="1"/>
  <c r="O429" i="1"/>
  <c r="O429" i="1" a="1"/>
  <c r="N429" i="1"/>
  <c r="M429" i="1"/>
  <c r="O428" i="1" a="1"/>
  <c r="O428" i="1" s="1"/>
  <c r="N428" i="1"/>
  <c r="M428" i="1"/>
  <c r="O427" i="1" a="1"/>
  <c r="O427" i="1" s="1"/>
  <c r="N427" i="1"/>
  <c r="M427" i="1"/>
  <c r="O426" i="1" a="1"/>
  <c r="O426" i="1" s="1"/>
  <c r="N426" i="1"/>
  <c r="M426" i="1"/>
  <c r="O425" i="1"/>
  <c r="O425" i="1" a="1"/>
  <c r="N425" i="1"/>
  <c r="M425" i="1"/>
  <c r="O424" i="1" a="1"/>
  <c r="O424" i="1" s="1"/>
  <c r="N424" i="1"/>
  <c r="M424" i="1"/>
  <c r="O423" i="1"/>
  <c r="O423" i="1" a="1"/>
  <c r="N423" i="1"/>
  <c r="M423" i="1"/>
  <c r="O422" i="1" a="1"/>
  <c r="O422" i="1" s="1"/>
  <c r="N422" i="1"/>
  <c r="M422" i="1"/>
  <c r="O421" i="1" a="1"/>
  <c r="O421" i="1" s="1"/>
  <c r="N421" i="1"/>
  <c r="M421" i="1"/>
  <c r="O420" i="1"/>
  <c r="O420" i="1" a="1"/>
  <c r="N420" i="1"/>
  <c r="M420" i="1"/>
  <c r="O419" i="1" a="1"/>
  <c r="O419" i="1" s="1"/>
  <c r="N419" i="1"/>
  <c r="M419" i="1"/>
  <c r="O418" i="1" a="1"/>
  <c r="O418" i="1" s="1"/>
  <c r="N418" i="1"/>
  <c r="M418" i="1"/>
  <c r="O417" i="1"/>
  <c r="O417" i="1" a="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c r="O411" i="1" a="1"/>
  <c r="N411" i="1"/>
  <c r="M411" i="1"/>
  <c r="O410" i="1" a="1"/>
  <c r="O410" i="1" s="1"/>
  <c r="N410" i="1"/>
  <c r="M410" i="1"/>
  <c r="O409" i="1" a="1"/>
  <c r="O409" i="1" s="1"/>
  <c r="N409" i="1"/>
  <c r="M409" i="1"/>
  <c r="O408" i="1"/>
  <c r="O408" i="1" a="1"/>
  <c r="N408" i="1"/>
  <c r="M408" i="1"/>
  <c r="O407" i="1" a="1"/>
  <c r="O407" i="1" s="1"/>
  <c r="N407" i="1"/>
  <c r="M407" i="1"/>
  <c r="O406" i="1" a="1"/>
  <c r="O406" i="1" s="1"/>
  <c r="N406" i="1"/>
  <c r="M406" i="1"/>
  <c r="O405" i="1"/>
  <c r="O405" i="1" a="1"/>
  <c r="N405" i="1"/>
  <c r="M405" i="1"/>
  <c r="O404" i="1" a="1"/>
  <c r="O404" i="1" s="1"/>
  <c r="N404" i="1"/>
  <c r="M404" i="1"/>
  <c r="O403" i="1" a="1"/>
  <c r="O403" i="1" s="1"/>
  <c r="N403" i="1"/>
  <c r="M403" i="1"/>
  <c r="O402" i="1"/>
  <c r="O402" i="1" a="1"/>
  <c r="N402" i="1"/>
  <c r="M402" i="1"/>
  <c r="O401" i="1" a="1"/>
  <c r="O401" i="1" s="1"/>
  <c r="N401" i="1"/>
  <c r="M401" i="1"/>
  <c r="O400" i="1" a="1"/>
  <c r="O400" i="1" s="1"/>
  <c r="N400" i="1"/>
  <c r="M400" i="1"/>
  <c r="O399" i="1"/>
  <c r="O399" i="1" a="1"/>
  <c r="N399" i="1"/>
  <c r="M399" i="1"/>
  <c r="O398" i="1" a="1"/>
  <c r="O398" i="1" s="1"/>
  <c r="N398" i="1"/>
  <c r="M398" i="1"/>
  <c r="O397" i="1" a="1"/>
  <c r="O397" i="1" s="1"/>
  <c r="N397" i="1"/>
  <c r="M397" i="1"/>
  <c r="O396" i="1"/>
  <c r="O396" i="1" a="1"/>
  <c r="N396" i="1"/>
  <c r="M396" i="1"/>
  <c r="O395" i="1" a="1"/>
  <c r="O395" i="1" s="1"/>
  <c r="N395" i="1"/>
  <c r="M395" i="1"/>
  <c r="O394" i="1" a="1"/>
  <c r="O394" i="1" s="1"/>
  <c r="N394" i="1"/>
  <c r="M394" i="1"/>
  <c r="O393" i="1"/>
  <c r="O393" i="1" a="1"/>
  <c r="N393" i="1"/>
  <c r="M393" i="1"/>
  <c r="O392" i="1" a="1"/>
  <c r="O392" i="1" s="1"/>
  <c r="N392" i="1"/>
  <c r="M392" i="1"/>
  <c r="O391" i="1" a="1"/>
  <c r="O391" i="1" s="1"/>
  <c r="N391" i="1"/>
  <c r="M391" i="1"/>
  <c r="O390" i="1"/>
  <c r="O390" i="1" a="1"/>
  <c r="N390" i="1"/>
  <c r="M390" i="1"/>
  <c r="O389" i="1" a="1"/>
  <c r="O389" i="1" s="1"/>
  <c r="N389" i="1"/>
  <c r="M389" i="1"/>
  <c r="O388" i="1" a="1"/>
  <c r="O388" i="1" s="1"/>
  <c r="N388" i="1"/>
  <c r="M388" i="1"/>
  <c r="O387" i="1"/>
  <c r="O387" i="1" a="1"/>
  <c r="N387" i="1"/>
  <c r="M387" i="1"/>
  <c r="O386" i="1" a="1"/>
  <c r="O386" i="1" s="1"/>
  <c r="N386" i="1"/>
  <c r="M386" i="1"/>
  <c r="O385" i="1" a="1"/>
  <c r="O385" i="1" s="1"/>
  <c r="N385" i="1"/>
  <c r="M385" i="1"/>
  <c r="O384" i="1"/>
  <c r="O384" i="1" a="1"/>
  <c r="N384" i="1"/>
  <c r="M384" i="1"/>
  <c r="O383" i="1" a="1"/>
  <c r="O383" i="1" s="1"/>
  <c r="N383" i="1"/>
  <c r="M383" i="1"/>
  <c r="O382" i="1" a="1"/>
  <c r="O382" i="1" s="1"/>
  <c r="N382" i="1"/>
  <c r="M382" i="1"/>
  <c r="O381" i="1"/>
  <c r="O381" i="1" a="1"/>
  <c r="N381" i="1"/>
  <c r="M381" i="1"/>
  <c r="O380" i="1" a="1"/>
  <c r="O380" i="1" s="1"/>
  <c r="N380" i="1"/>
  <c r="M380" i="1"/>
  <c r="O379" i="1" a="1"/>
  <c r="O379" i="1" s="1"/>
  <c r="N379" i="1"/>
  <c r="M379" i="1"/>
  <c r="O378" i="1"/>
  <c r="O378" i="1" a="1"/>
  <c r="N378" i="1"/>
  <c r="M378" i="1"/>
  <c r="O377" i="1" a="1"/>
  <c r="O377" i="1" s="1"/>
  <c r="N377" i="1"/>
  <c r="M377" i="1"/>
  <c r="O376" i="1" a="1"/>
  <c r="O376" i="1" s="1"/>
  <c r="N376" i="1"/>
  <c r="M376" i="1"/>
  <c r="O375" i="1"/>
  <c r="O375" i="1" a="1"/>
  <c r="N375" i="1"/>
  <c r="M375" i="1"/>
  <c r="O374" i="1" a="1"/>
  <c r="O374" i="1" s="1"/>
  <c r="N374" i="1"/>
  <c r="M374" i="1"/>
  <c r="O373" i="1" a="1"/>
  <c r="O373" i="1" s="1"/>
  <c r="N373" i="1"/>
  <c r="M373" i="1"/>
  <c r="O372" i="1"/>
  <c r="O372" i="1" a="1"/>
  <c r="N372" i="1"/>
  <c r="M372" i="1"/>
  <c r="O371" i="1" a="1"/>
  <c r="O371" i="1" s="1"/>
  <c r="N371" i="1"/>
  <c r="M371" i="1"/>
  <c r="O370" i="1" a="1"/>
  <c r="O370" i="1" s="1"/>
  <c r="N370" i="1"/>
  <c r="M370" i="1"/>
  <c r="O369" i="1"/>
  <c r="O369" i="1" a="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c r="O360" i="1" a="1"/>
  <c r="N360" i="1"/>
  <c r="M360" i="1"/>
  <c r="O359" i="1" a="1"/>
  <c r="O359" i="1" s="1"/>
  <c r="N359" i="1"/>
  <c r="M359" i="1"/>
  <c r="O358" i="1" a="1"/>
  <c r="O358" i="1" s="1"/>
  <c r="N358" i="1"/>
  <c r="M358" i="1"/>
  <c r="O357" i="1"/>
  <c r="O357" i="1" a="1"/>
  <c r="N357" i="1"/>
  <c r="M357" i="1"/>
  <c r="O356" i="1" a="1"/>
  <c r="O356" i="1" s="1"/>
  <c r="N356" i="1"/>
  <c r="M356" i="1"/>
  <c r="O355" i="1" a="1"/>
  <c r="O355" i="1" s="1"/>
  <c r="N355" i="1"/>
  <c r="M355" i="1"/>
  <c r="O354" i="1"/>
  <c r="O354" i="1" a="1"/>
  <c r="N354" i="1"/>
  <c r="M354" i="1"/>
  <c r="O353" i="1" a="1"/>
  <c r="O353" i="1" s="1"/>
  <c r="N353" i="1"/>
  <c r="M353" i="1"/>
  <c r="O352" i="1" a="1"/>
  <c r="O352" i="1" s="1"/>
  <c r="N352" i="1"/>
  <c r="M352" i="1"/>
  <c r="O351" i="1"/>
  <c r="O351" i="1" a="1"/>
  <c r="N351" i="1"/>
  <c r="M351" i="1"/>
  <c r="O350" i="1" a="1"/>
  <c r="O350" i="1" s="1"/>
  <c r="N350" i="1"/>
  <c r="M350" i="1"/>
  <c r="O349" i="1" a="1"/>
  <c r="O349" i="1" s="1"/>
  <c r="N349" i="1"/>
  <c r="M349" i="1"/>
  <c r="O348" i="1"/>
  <c r="O348" i="1" a="1"/>
  <c r="N348" i="1"/>
  <c r="M348" i="1"/>
  <c r="O347" i="1" a="1"/>
  <c r="O347" i="1" s="1"/>
  <c r="N347" i="1"/>
  <c r="M347" i="1"/>
  <c r="O346" i="1" a="1"/>
  <c r="O346" i="1" s="1"/>
  <c r="N346" i="1"/>
  <c r="M346" i="1"/>
  <c r="O345" i="1"/>
  <c r="O345" i="1" a="1"/>
  <c r="N345" i="1"/>
  <c r="M345" i="1"/>
  <c r="O344" i="1" a="1"/>
  <c r="O344" i="1" s="1"/>
  <c r="N344" i="1"/>
  <c r="M344" i="1"/>
  <c r="O343" i="1" a="1"/>
  <c r="O343" i="1" s="1"/>
  <c r="N343" i="1"/>
  <c r="M343" i="1"/>
  <c r="O342" i="1"/>
  <c r="O342" i="1" a="1"/>
  <c r="N342" i="1"/>
  <c r="M342" i="1"/>
  <c r="O341" i="1" a="1"/>
  <c r="O341" i="1" s="1"/>
  <c r="N341" i="1"/>
  <c r="M341" i="1"/>
  <c r="O340" i="1" a="1"/>
  <c r="O340" i="1" s="1"/>
  <c r="N340" i="1"/>
  <c r="M340" i="1"/>
  <c r="O339" i="1"/>
  <c r="O339" i="1" a="1"/>
  <c r="N339" i="1"/>
  <c r="M339" i="1"/>
  <c r="O338" i="1" a="1"/>
  <c r="O338" i="1" s="1"/>
  <c r="N338" i="1"/>
  <c r="M338" i="1"/>
  <c r="O337" i="1" a="1"/>
  <c r="O337" i="1" s="1"/>
  <c r="N337" i="1"/>
  <c r="M337" i="1"/>
  <c r="O336" i="1"/>
  <c r="O336" i="1" a="1"/>
  <c r="N336" i="1"/>
  <c r="M336" i="1"/>
  <c r="O335" i="1" a="1"/>
  <c r="O335" i="1" s="1"/>
  <c r="N335" i="1"/>
  <c r="M335" i="1"/>
  <c r="O334" i="1" a="1"/>
  <c r="O334" i="1" s="1"/>
  <c r="N334" i="1"/>
  <c r="M334" i="1"/>
  <c r="O333" i="1"/>
  <c r="O333" i="1" a="1"/>
  <c r="N333" i="1"/>
  <c r="M333" i="1"/>
  <c r="O332" i="1" a="1"/>
  <c r="O332" i="1" s="1"/>
  <c r="N332" i="1"/>
  <c r="M332" i="1"/>
  <c r="O331" i="1" a="1"/>
  <c r="O331" i="1" s="1"/>
  <c r="N331" i="1"/>
  <c r="M331" i="1"/>
  <c r="O330" i="1"/>
  <c r="O330" i="1" a="1"/>
  <c r="N330" i="1"/>
  <c r="M330" i="1"/>
  <c r="O329" i="1" a="1"/>
  <c r="O329" i="1" s="1"/>
  <c r="N329" i="1"/>
  <c r="M329" i="1"/>
  <c r="O328" i="1" a="1"/>
  <c r="O328" i="1" s="1"/>
  <c r="N328" i="1"/>
  <c r="M328" i="1"/>
  <c r="O327" i="1"/>
  <c r="O327" i="1" a="1"/>
  <c r="N327" i="1"/>
  <c r="M327" i="1"/>
  <c r="O326" i="1" a="1"/>
  <c r="O326" i="1" s="1"/>
  <c r="N326" i="1"/>
  <c r="M326" i="1"/>
  <c r="O325" i="1" a="1"/>
  <c r="O325" i="1" s="1"/>
  <c r="N325" i="1"/>
  <c r="M325" i="1"/>
  <c r="O324" i="1"/>
  <c r="O324" i="1" a="1"/>
  <c r="N324" i="1"/>
  <c r="M324" i="1"/>
  <c r="O323" i="1" a="1"/>
  <c r="O323" i="1" s="1"/>
  <c r="N323" i="1"/>
  <c r="M323" i="1"/>
  <c r="O322" i="1" a="1"/>
  <c r="O322" i="1" s="1"/>
  <c r="N322" i="1"/>
  <c r="M322" i="1"/>
  <c r="O321" i="1"/>
  <c r="O321" i="1" a="1"/>
  <c r="N321" i="1"/>
  <c r="M321" i="1"/>
  <c r="O320" i="1" a="1"/>
  <c r="O320" i="1" s="1"/>
  <c r="N320" i="1"/>
  <c r="M320" i="1"/>
  <c r="O319" i="1" a="1"/>
  <c r="O319" i="1" s="1"/>
  <c r="N319" i="1"/>
  <c r="M319" i="1"/>
  <c r="O318" i="1"/>
  <c r="O318" i="1" a="1"/>
  <c r="N318" i="1"/>
  <c r="M318" i="1"/>
  <c r="O317" i="1" a="1"/>
  <c r="O317" i="1" s="1"/>
  <c r="N317" i="1"/>
  <c r="M317" i="1"/>
  <c r="O316" i="1" a="1"/>
  <c r="O316" i="1" s="1"/>
  <c r="N316" i="1"/>
  <c r="M316" i="1"/>
  <c r="O315" i="1"/>
  <c r="O315" i="1" a="1"/>
  <c r="N315" i="1"/>
  <c r="M315" i="1"/>
  <c r="O314" i="1" a="1"/>
  <c r="O314" i="1" s="1"/>
  <c r="N314" i="1"/>
  <c r="M314" i="1"/>
  <c r="O313" i="1" a="1"/>
  <c r="O313" i="1" s="1"/>
  <c r="N313" i="1"/>
  <c r="M313" i="1"/>
  <c r="O312" i="1"/>
  <c r="O312" i="1" a="1"/>
  <c r="N312" i="1"/>
  <c r="M312" i="1"/>
  <c r="O311" i="1" a="1"/>
  <c r="O311" i="1" s="1"/>
  <c r="N311" i="1"/>
  <c r="M311" i="1"/>
  <c r="O310" i="1" a="1"/>
  <c r="O310" i="1" s="1"/>
  <c r="N310" i="1"/>
  <c r="M310" i="1"/>
  <c r="O309" i="1"/>
  <c r="O309" i="1" a="1"/>
  <c r="N309" i="1"/>
  <c r="M309" i="1"/>
  <c r="O308" i="1" a="1"/>
  <c r="O308" i="1" s="1"/>
  <c r="N308" i="1"/>
  <c r="M308" i="1"/>
  <c r="O307" i="1" a="1"/>
  <c r="O307" i="1" s="1"/>
  <c r="N307" i="1"/>
  <c r="M307" i="1"/>
  <c r="O306" i="1"/>
  <c r="O306" i="1" a="1"/>
  <c r="N306" i="1"/>
  <c r="M306" i="1"/>
  <c r="O305" i="1" a="1"/>
  <c r="O305" i="1" s="1"/>
  <c r="N305" i="1"/>
  <c r="M305" i="1"/>
  <c r="O304" i="1" a="1"/>
  <c r="O304" i="1" s="1"/>
  <c r="N304" i="1"/>
  <c r="M304" i="1"/>
  <c r="O303" i="1"/>
  <c r="O303" i="1" a="1"/>
  <c r="N303" i="1"/>
  <c r="M303" i="1"/>
  <c r="O302" i="1" a="1"/>
  <c r="O302" i="1" s="1"/>
  <c r="N302" i="1"/>
  <c r="M302" i="1"/>
  <c r="O301" i="1" a="1"/>
  <c r="O301" i="1" s="1"/>
  <c r="N301" i="1"/>
  <c r="M301" i="1"/>
  <c r="O300" i="1"/>
  <c r="O300" i="1" a="1"/>
  <c r="N300" i="1"/>
  <c r="M300" i="1"/>
  <c r="O299" i="1" a="1"/>
  <c r="O299" i="1" s="1"/>
  <c r="N299" i="1"/>
  <c r="M299" i="1"/>
  <c r="O298" i="1" a="1"/>
  <c r="O298" i="1" s="1"/>
  <c r="N298" i="1"/>
  <c r="M298" i="1"/>
  <c r="O297" i="1"/>
  <c r="O297" i="1" a="1"/>
  <c r="N297" i="1"/>
  <c r="M297" i="1"/>
  <c r="O296" i="1" a="1"/>
  <c r="O296" i="1" s="1"/>
  <c r="N296" i="1"/>
  <c r="M296" i="1"/>
  <c r="O295" i="1" a="1"/>
  <c r="O295" i="1" s="1"/>
  <c r="N295" i="1"/>
  <c r="M295" i="1"/>
  <c r="O294" i="1"/>
  <c r="O294" i="1" a="1"/>
  <c r="N294" i="1"/>
  <c r="M294" i="1"/>
  <c r="O293" i="1" a="1"/>
  <c r="O293" i="1" s="1"/>
  <c r="N293" i="1"/>
  <c r="M293" i="1"/>
  <c r="O292" i="1" a="1"/>
  <c r="O292" i="1" s="1"/>
  <c r="N292" i="1"/>
  <c r="M292" i="1"/>
  <c r="O291" i="1"/>
  <c r="O291" i="1" a="1"/>
  <c r="N291" i="1"/>
  <c r="M291" i="1"/>
  <c r="O290" i="1" a="1"/>
  <c r="O290" i="1" s="1"/>
  <c r="N290" i="1"/>
  <c r="M290" i="1"/>
  <c r="O289" i="1"/>
  <c r="O289" i="1" a="1"/>
  <c r="N289" i="1"/>
  <c r="M289" i="1"/>
  <c r="O288" i="1"/>
  <c r="O288" i="1" a="1"/>
  <c r="N288" i="1"/>
  <c r="M288" i="1"/>
  <c r="O287" i="1" a="1"/>
  <c r="O287" i="1" s="1"/>
  <c r="N287" i="1"/>
  <c r="M287" i="1"/>
  <c r="O286" i="1" a="1"/>
  <c r="O286" i="1" s="1"/>
  <c r="N286" i="1"/>
  <c r="M286" i="1"/>
  <c r="O285" i="1"/>
  <c r="O285" i="1" a="1"/>
  <c r="N285" i="1"/>
  <c r="M285" i="1"/>
  <c r="O284" i="1" a="1"/>
  <c r="O284" i="1" s="1"/>
  <c r="N284" i="1"/>
  <c r="M284" i="1"/>
  <c r="O283" i="1" a="1"/>
  <c r="O283" i="1" s="1"/>
  <c r="N283" i="1"/>
  <c r="M283" i="1"/>
  <c r="O282" i="1"/>
  <c r="O282" i="1" a="1"/>
  <c r="N282" i="1"/>
  <c r="M282" i="1"/>
  <c r="O281" i="1" a="1"/>
  <c r="O281" i="1" s="1"/>
  <c r="N281" i="1"/>
  <c r="M281" i="1"/>
  <c r="O280" i="1" a="1"/>
  <c r="O280" i="1" s="1"/>
  <c r="N280" i="1"/>
  <c r="M280" i="1"/>
  <c r="O279" i="1"/>
  <c r="O279" i="1" a="1"/>
  <c r="N279" i="1"/>
  <c r="M279" i="1"/>
  <c r="O278" i="1" a="1"/>
  <c r="O278" i="1" s="1"/>
  <c r="N278" i="1"/>
  <c r="M278" i="1"/>
  <c r="O277" i="1" a="1"/>
  <c r="O277" i="1" s="1"/>
  <c r="N277" i="1"/>
  <c r="M277" i="1"/>
  <c r="O276" i="1"/>
  <c r="O276" i="1" a="1"/>
  <c r="N276" i="1"/>
  <c r="M276" i="1"/>
  <c r="O275" i="1" a="1"/>
  <c r="O275" i="1" s="1"/>
  <c r="N275" i="1"/>
  <c r="M275" i="1"/>
  <c r="O274" i="1"/>
  <c r="O274" i="1" a="1"/>
  <c r="N274" i="1"/>
  <c r="M274" i="1"/>
  <c r="O273" i="1"/>
  <c r="O273" i="1" a="1"/>
  <c r="N273" i="1"/>
  <c r="M273" i="1"/>
  <c r="O272" i="1" a="1"/>
  <c r="O272" i="1" s="1"/>
  <c r="N272" i="1"/>
  <c r="M272" i="1"/>
  <c r="O271" i="1" a="1"/>
  <c r="O271" i="1" s="1"/>
  <c r="N271" i="1"/>
  <c r="M271" i="1"/>
  <c r="O270" i="1"/>
  <c r="O270" i="1" a="1"/>
  <c r="N270" i="1"/>
  <c r="M270" i="1"/>
  <c r="O269" i="1" a="1"/>
  <c r="O269" i="1" s="1"/>
  <c r="N269" i="1"/>
  <c r="M269" i="1"/>
  <c r="O268" i="1"/>
  <c r="O268" i="1" a="1"/>
  <c r="N268" i="1"/>
  <c r="M268" i="1"/>
  <c r="O267" i="1"/>
  <c r="O267" i="1" a="1"/>
  <c r="N267" i="1"/>
  <c r="M267" i="1"/>
  <c r="O266" i="1" a="1"/>
  <c r="O266" i="1" s="1"/>
  <c r="N266" i="1"/>
  <c r="M266" i="1"/>
  <c r="O265" i="1" a="1"/>
  <c r="O265" i="1" s="1"/>
  <c r="N265" i="1"/>
  <c r="M265" i="1"/>
  <c r="O264" i="1"/>
  <c r="O264" i="1" a="1"/>
  <c r="N264" i="1"/>
  <c r="M264" i="1"/>
  <c r="O263" i="1" a="1"/>
  <c r="O263" i="1" s="1"/>
  <c r="N263" i="1"/>
  <c r="M263" i="1"/>
  <c r="O262" i="1" a="1"/>
  <c r="O262" i="1" s="1"/>
  <c r="N262" i="1"/>
  <c r="M262" i="1"/>
  <c r="O261" i="1"/>
  <c r="O261" i="1" a="1"/>
  <c r="N261" i="1"/>
  <c r="M261" i="1"/>
  <c r="O260" i="1" a="1"/>
  <c r="O260" i="1" s="1"/>
  <c r="N260" i="1"/>
  <c r="M260" i="1"/>
  <c r="O259" i="1"/>
  <c r="O259" i="1" a="1"/>
  <c r="N259" i="1"/>
  <c r="M259" i="1"/>
  <c r="O258" i="1"/>
  <c r="O258" i="1" a="1"/>
  <c r="N258" i="1"/>
  <c r="M258" i="1"/>
  <c r="O257" i="1" a="1"/>
  <c r="O257" i="1" s="1"/>
  <c r="N257" i="1"/>
  <c r="M257" i="1"/>
  <c r="O256" i="1" a="1"/>
  <c r="O256" i="1" s="1"/>
  <c r="N256" i="1"/>
  <c r="M256" i="1"/>
  <c r="O255" i="1"/>
  <c r="O255" i="1" a="1"/>
  <c r="N255" i="1"/>
  <c r="M255" i="1"/>
  <c r="O254" i="1" a="1"/>
  <c r="O254" i="1" s="1"/>
  <c r="N254" i="1"/>
  <c r="M254" i="1"/>
  <c r="O253" i="1"/>
  <c r="O253" i="1" a="1"/>
  <c r="N253" i="1"/>
  <c r="M253" i="1"/>
  <c r="O252" i="1"/>
  <c r="O252" i="1" a="1"/>
  <c r="N252" i="1"/>
  <c r="M252" i="1"/>
  <c r="O251" i="1" a="1"/>
  <c r="O251" i="1" s="1"/>
  <c r="N251" i="1"/>
  <c r="M251" i="1"/>
  <c r="O250" i="1" a="1"/>
  <c r="O250" i="1" s="1"/>
  <c r="N250" i="1"/>
  <c r="M250" i="1"/>
  <c r="O249" i="1"/>
  <c r="O249" i="1" a="1"/>
  <c r="N249" i="1"/>
  <c r="M249" i="1"/>
  <c r="O248" i="1" a="1"/>
  <c r="O248" i="1" s="1"/>
  <c r="N248" i="1"/>
  <c r="M248" i="1"/>
  <c r="O247" i="1" a="1"/>
  <c r="O247" i="1" s="1"/>
  <c r="N247" i="1"/>
  <c r="M247" i="1"/>
  <c r="O246" i="1"/>
  <c r="O246" i="1" a="1"/>
  <c r="N246" i="1"/>
  <c r="M246" i="1"/>
  <c r="O245" i="1" a="1"/>
  <c r="O245" i="1" s="1"/>
  <c r="N245" i="1"/>
  <c r="M245" i="1"/>
  <c r="O244" i="1" a="1"/>
  <c r="O244" i="1" s="1"/>
  <c r="N244" i="1"/>
  <c r="M244" i="1"/>
  <c r="O243" i="1"/>
  <c r="O243" i="1" a="1"/>
  <c r="N243" i="1"/>
  <c r="M243" i="1"/>
  <c r="O242" i="1" a="1"/>
  <c r="O242" i="1" s="1"/>
  <c r="N242" i="1"/>
  <c r="M242" i="1"/>
  <c r="O241" i="1" a="1"/>
  <c r="O241" i="1" s="1"/>
  <c r="N241" i="1"/>
  <c r="M241" i="1"/>
  <c r="O240" i="1"/>
  <c r="O240" i="1" a="1"/>
  <c r="N240" i="1"/>
  <c r="M240" i="1"/>
  <c r="O239" i="1" a="1"/>
  <c r="O239" i="1" s="1"/>
  <c r="N239" i="1"/>
  <c r="M239" i="1"/>
  <c r="O238" i="1"/>
  <c r="O238" i="1" a="1"/>
  <c r="N238" i="1"/>
  <c r="M238" i="1"/>
  <c r="O237" i="1"/>
  <c r="O237" i="1" a="1"/>
  <c r="N237" i="1"/>
  <c r="M237" i="1"/>
  <c r="O236" i="1" a="1"/>
  <c r="O236" i="1" s="1"/>
  <c r="N236" i="1"/>
  <c r="M236" i="1"/>
  <c r="O235" i="1" a="1"/>
  <c r="O235" i="1" s="1"/>
  <c r="N235" i="1"/>
  <c r="M235" i="1"/>
  <c r="O234" i="1"/>
  <c r="O234" i="1" a="1"/>
  <c r="N234" i="1"/>
  <c r="M234" i="1"/>
  <c r="O233" i="1" a="1"/>
  <c r="O233" i="1" s="1"/>
  <c r="N233" i="1"/>
  <c r="M233" i="1"/>
  <c r="O232" i="1"/>
  <c r="O232" i="1" a="1"/>
  <c r="N232" i="1"/>
  <c r="M232" i="1"/>
  <c r="O231" i="1"/>
  <c r="O231" i="1" a="1"/>
  <c r="N231" i="1"/>
  <c r="M231" i="1"/>
  <c r="O230" i="1" a="1"/>
  <c r="O230" i="1" s="1"/>
  <c r="N230" i="1"/>
  <c r="M230" i="1"/>
  <c r="O229" i="1" a="1"/>
  <c r="O229" i="1" s="1"/>
  <c r="N229" i="1"/>
  <c r="M229" i="1"/>
  <c r="O228" i="1"/>
  <c r="O228" i="1" a="1"/>
  <c r="N228" i="1"/>
  <c r="M228" i="1"/>
  <c r="O227" i="1" a="1"/>
  <c r="O227" i="1" s="1"/>
  <c r="N227" i="1"/>
  <c r="M227" i="1"/>
  <c r="O226" i="1" a="1"/>
  <c r="O226" i="1" s="1"/>
  <c r="N226" i="1"/>
  <c r="M226" i="1"/>
  <c r="O225" i="1"/>
  <c r="O225" i="1" a="1"/>
  <c r="N225" i="1"/>
  <c r="M225" i="1"/>
  <c r="O224" i="1" a="1"/>
  <c r="O224" i="1" s="1"/>
  <c r="N224" i="1"/>
  <c r="M224" i="1"/>
  <c r="O223" i="1"/>
  <c r="O223" i="1" a="1"/>
  <c r="N223" i="1"/>
  <c r="M223" i="1"/>
  <c r="O222" i="1"/>
  <c r="O222" i="1" a="1"/>
  <c r="N222" i="1"/>
  <c r="M222" i="1"/>
  <c r="O221" i="1" a="1"/>
  <c r="O221" i="1" s="1"/>
  <c r="N221" i="1"/>
  <c r="M221" i="1"/>
  <c r="O220" i="1" a="1"/>
  <c r="O220" i="1" s="1"/>
  <c r="N220" i="1"/>
  <c r="M220" i="1"/>
  <c r="O219" i="1"/>
  <c r="O219" i="1" a="1"/>
  <c r="N219" i="1"/>
  <c r="M219" i="1"/>
  <c r="O218" i="1" a="1"/>
  <c r="O218" i="1" s="1"/>
  <c r="N218" i="1"/>
  <c r="M218" i="1"/>
  <c r="O217" i="1"/>
  <c r="O217" i="1" a="1"/>
  <c r="N217" i="1"/>
  <c r="M217" i="1"/>
  <c r="O216" i="1"/>
  <c r="O216" i="1" a="1"/>
  <c r="N216" i="1"/>
  <c r="M216" i="1"/>
  <c r="O215" i="1" a="1"/>
  <c r="O215" i="1" s="1"/>
  <c r="N215" i="1"/>
  <c r="M215" i="1"/>
  <c r="O214" i="1" a="1"/>
  <c r="O214" i="1" s="1"/>
  <c r="N214" i="1"/>
  <c r="M214" i="1"/>
  <c r="O213" i="1"/>
  <c r="O213" i="1" a="1"/>
  <c r="N213" i="1"/>
  <c r="M213" i="1"/>
  <c r="O212" i="1" a="1"/>
  <c r="O212" i="1" s="1"/>
  <c r="N212" i="1"/>
  <c r="M212" i="1"/>
  <c r="O211" i="1" a="1"/>
  <c r="O211" i="1" s="1"/>
  <c r="N211" i="1"/>
  <c r="M211" i="1"/>
  <c r="O210" i="1"/>
  <c r="O210" i="1" a="1"/>
  <c r="N210" i="1"/>
  <c r="M210" i="1"/>
  <c r="O209" i="1" a="1"/>
  <c r="O209" i="1" s="1"/>
  <c r="N209" i="1"/>
  <c r="M209" i="1"/>
  <c r="O208" i="1" a="1"/>
  <c r="O208" i="1" s="1"/>
  <c r="N208" i="1"/>
  <c r="M208" i="1"/>
  <c r="O207" i="1"/>
  <c r="O207" i="1" a="1"/>
  <c r="N207" i="1"/>
  <c r="M207" i="1"/>
  <c r="O206" i="1" a="1"/>
  <c r="O206" i="1" s="1"/>
  <c r="N206" i="1"/>
  <c r="M206" i="1"/>
  <c r="O205" i="1" a="1"/>
  <c r="O205" i="1" s="1"/>
  <c r="N205" i="1"/>
  <c r="M205" i="1"/>
  <c r="O204" i="1"/>
  <c r="O204" i="1" a="1"/>
  <c r="N204" i="1"/>
  <c r="M204" i="1"/>
  <c r="O203" i="1" a="1"/>
  <c r="O203" i="1" s="1"/>
  <c r="N203" i="1"/>
  <c r="M203" i="1"/>
  <c r="O202" i="1"/>
  <c r="O202" i="1" a="1"/>
  <c r="N202" i="1"/>
  <c r="M202" i="1"/>
  <c r="O201" i="1"/>
  <c r="O201" i="1" a="1"/>
  <c r="N201" i="1"/>
  <c r="M201" i="1"/>
  <c r="O200" i="1" a="1"/>
  <c r="O200" i="1" s="1"/>
  <c r="N200" i="1"/>
  <c r="M200" i="1"/>
  <c r="O199" i="1" a="1"/>
  <c r="O199" i="1" s="1"/>
  <c r="N199" i="1"/>
  <c r="M199" i="1"/>
  <c r="O198" i="1"/>
  <c r="O198" i="1" a="1"/>
  <c r="N198" i="1"/>
  <c r="M198" i="1"/>
  <c r="O197" i="1" a="1"/>
  <c r="O197" i="1" s="1"/>
  <c r="N197" i="1"/>
  <c r="M197" i="1"/>
  <c r="O196" i="1"/>
  <c r="O196" i="1" a="1"/>
  <c r="N196" i="1"/>
  <c r="M196" i="1"/>
  <c r="O195" i="1"/>
  <c r="O195" i="1" a="1"/>
  <c r="N195" i="1"/>
  <c r="M195" i="1"/>
  <c r="O194" i="1" a="1"/>
  <c r="O194" i="1" s="1"/>
  <c r="N194" i="1"/>
  <c r="M194" i="1"/>
  <c r="O193" i="1" a="1"/>
  <c r="O193" i="1" s="1"/>
  <c r="N193" i="1"/>
  <c r="M193" i="1"/>
  <c r="O192" i="1"/>
  <c r="O192" i="1" a="1"/>
  <c r="N192" i="1"/>
  <c r="M192" i="1"/>
  <c r="O191" i="1" a="1"/>
  <c r="O191" i="1" s="1"/>
  <c r="N191" i="1"/>
  <c r="M191" i="1"/>
  <c r="O190" i="1" a="1"/>
  <c r="O190" i="1" s="1"/>
  <c r="N190" i="1"/>
  <c r="M190" i="1"/>
  <c r="O189" i="1"/>
  <c r="O189" i="1" a="1"/>
  <c r="N189" i="1"/>
  <c r="M189" i="1"/>
  <c r="O188" i="1" a="1"/>
  <c r="O188" i="1" s="1"/>
  <c r="N188" i="1"/>
  <c r="M188" i="1"/>
  <c r="O187" i="1"/>
  <c r="O187" i="1" a="1"/>
  <c r="N187" i="1"/>
  <c r="M187" i="1"/>
  <c r="O186" i="1"/>
  <c r="O186" i="1" a="1"/>
  <c r="N186" i="1"/>
  <c r="M186" i="1"/>
  <c r="O185" i="1" a="1"/>
  <c r="O185" i="1" s="1"/>
  <c r="N185" i="1"/>
  <c r="M185" i="1"/>
  <c r="O184" i="1" a="1"/>
  <c r="O184" i="1" s="1"/>
  <c r="N184" i="1"/>
  <c r="M184" i="1"/>
  <c r="O183" i="1"/>
  <c r="O183" i="1" a="1"/>
  <c r="N183" i="1"/>
  <c r="M183" i="1"/>
  <c r="O182" i="1" a="1"/>
  <c r="O182" i="1" s="1"/>
  <c r="N182" i="1"/>
  <c r="M182" i="1"/>
  <c r="O181" i="1"/>
  <c r="O181" i="1" a="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c r="O171" i="1" a="1"/>
  <c r="N171" i="1"/>
  <c r="M171" i="1"/>
  <c r="O170" i="1" a="1"/>
  <c r="O170" i="1" s="1"/>
  <c r="N170" i="1"/>
  <c r="M170" i="1"/>
  <c r="O169" i="1" a="1"/>
  <c r="O169" i="1" s="1"/>
  <c r="N169" i="1"/>
  <c r="M169" i="1"/>
  <c r="O168" i="1"/>
  <c r="O168" i="1" a="1"/>
  <c r="N168" i="1"/>
  <c r="M168" i="1"/>
  <c r="O167" i="1" a="1"/>
  <c r="O167" i="1" s="1"/>
  <c r="N167" i="1"/>
  <c r="M167" i="1"/>
  <c r="O166" i="1"/>
  <c r="O166" i="1" a="1"/>
  <c r="N166" i="1"/>
  <c r="M166" i="1"/>
  <c r="O165" i="1"/>
  <c r="O165" i="1" a="1"/>
  <c r="N165" i="1"/>
  <c r="M165" i="1"/>
  <c r="O164" i="1" a="1"/>
  <c r="O164" i="1" s="1"/>
  <c r="N164" i="1"/>
  <c r="M164" i="1"/>
  <c r="O163" i="1" a="1"/>
  <c r="O163" i="1" s="1"/>
  <c r="N163" i="1"/>
  <c r="M163" i="1"/>
  <c r="O162" i="1"/>
  <c r="O162" i="1" a="1"/>
  <c r="N162" i="1"/>
  <c r="M162" i="1"/>
  <c r="O161" i="1" a="1"/>
  <c r="O161" i="1" s="1"/>
  <c r="N161" i="1"/>
  <c r="M161" i="1"/>
  <c r="O160" i="1"/>
  <c r="O160" i="1" a="1"/>
  <c r="N160" i="1"/>
  <c r="M160" i="1"/>
  <c r="O159" i="1"/>
  <c r="O159" i="1" a="1"/>
  <c r="N159" i="1"/>
  <c r="M159" i="1"/>
  <c r="O158" i="1" a="1"/>
  <c r="O158" i="1" s="1"/>
  <c r="N158" i="1"/>
  <c r="M158" i="1"/>
  <c r="O157" i="1" a="1"/>
  <c r="O157" i="1" s="1"/>
  <c r="N157" i="1"/>
  <c r="M157" i="1"/>
  <c r="O156" i="1"/>
  <c r="O156" i="1" a="1"/>
  <c r="N156" i="1"/>
  <c r="M156" i="1"/>
  <c r="O155" i="1" a="1"/>
  <c r="O155" i="1" s="1"/>
  <c r="N155" i="1"/>
  <c r="M155" i="1"/>
  <c r="O154" i="1" a="1"/>
  <c r="O154" i="1" s="1"/>
  <c r="N154" i="1"/>
  <c r="M154" i="1"/>
  <c r="O153" i="1"/>
  <c r="O153" i="1" a="1"/>
  <c r="N153" i="1"/>
  <c r="M153" i="1"/>
  <c r="O152" i="1" a="1"/>
  <c r="O152" i="1" s="1"/>
  <c r="N152" i="1"/>
  <c r="M152" i="1"/>
  <c r="O151" i="1"/>
  <c r="O151" i="1" a="1"/>
  <c r="N151" i="1"/>
  <c r="M151" i="1"/>
  <c r="O150" i="1"/>
  <c r="O150" i="1" a="1"/>
  <c r="N150" i="1"/>
  <c r="M150" i="1"/>
  <c r="O149" i="1" a="1"/>
  <c r="O149" i="1" s="1"/>
  <c r="N149" i="1"/>
  <c r="M149" i="1"/>
  <c r="O148" i="1" a="1"/>
  <c r="O148" i="1" s="1"/>
  <c r="N148" i="1"/>
  <c r="M148" i="1"/>
  <c r="O147" i="1"/>
  <c r="O147" i="1" a="1"/>
  <c r="N147" i="1"/>
  <c r="M147" i="1"/>
  <c r="O146" i="1" a="1"/>
  <c r="O146" i="1" s="1"/>
  <c r="N146" i="1"/>
  <c r="M146" i="1"/>
  <c r="O145" i="1"/>
  <c r="O145" i="1" a="1"/>
  <c r="N145" i="1"/>
  <c r="M145" i="1"/>
  <c r="O144" i="1"/>
  <c r="O144" i="1" a="1"/>
  <c r="N144" i="1"/>
  <c r="M144" i="1"/>
  <c r="O143" i="1" a="1"/>
  <c r="O143" i="1" s="1"/>
  <c r="N143" i="1"/>
  <c r="M143" i="1"/>
  <c r="O142" i="1" a="1"/>
  <c r="O142" i="1" s="1"/>
  <c r="N142" i="1"/>
  <c r="M142" i="1"/>
  <c r="O141" i="1"/>
  <c r="O141" i="1" a="1"/>
  <c r="N141" i="1"/>
  <c r="M141" i="1"/>
  <c r="O140" i="1" a="1"/>
  <c r="O140" i="1" s="1"/>
  <c r="N140" i="1"/>
  <c r="M140" i="1"/>
  <c r="O139" i="1" a="1"/>
  <c r="O139" i="1" s="1"/>
  <c r="N139" i="1"/>
  <c r="M139" i="1"/>
  <c r="O138" i="1"/>
  <c r="O138" i="1" a="1"/>
  <c r="N138" i="1"/>
  <c r="M138" i="1"/>
  <c r="O137" i="1" a="1"/>
  <c r="O137" i="1" s="1"/>
  <c r="N137" i="1"/>
  <c r="M137" i="1"/>
  <c r="O136" i="1" a="1"/>
  <c r="O136" i="1" s="1"/>
  <c r="N136" i="1"/>
  <c r="M136" i="1"/>
  <c r="O135" i="1"/>
  <c r="O135" i="1" a="1"/>
  <c r="N135" i="1"/>
  <c r="M135" i="1"/>
  <c r="O134" i="1" a="1"/>
  <c r="O134" i="1" s="1"/>
  <c r="N134" i="1"/>
  <c r="M134" i="1"/>
  <c r="O133" i="1" a="1"/>
  <c r="O133" i="1" s="1"/>
  <c r="N133" i="1"/>
  <c r="M133" i="1"/>
  <c r="O132" i="1"/>
  <c r="O132" i="1" a="1"/>
  <c r="N132" i="1"/>
  <c r="M132" i="1"/>
  <c r="O131" i="1" a="1"/>
  <c r="O131" i="1" s="1"/>
  <c r="N131" i="1"/>
  <c r="M131" i="1"/>
  <c r="O130" i="1"/>
  <c r="O130" i="1" a="1"/>
  <c r="N130" i="1"/>
  <c r="M130" i="1"/>
  <c r="O129" i="1"/>
  <c r="O129" i="1" a="1"/>
  <c r="N129" i="1"/>
  <c r="M129" i="1"/>
  <c r="O128" i="1" a="1"/>
  <c r="O128" i="1" s="1"/>
  <c r="N128" i="1"/>
  <c r="M128" i="1"/>
  <c r="O127" i="1" a="1"/>
  <c r="O127" i="1" s="1"/>
  <c r="N127" i="1"/>
  <c r="M127" i="1"/>
  <c r="O126" i="1"/>
  <c r="O126" i="1" a="1"/>
  <c r="N126" i="1"/>
  <c r="M126" i="1"/>
  <c r="O125" i="1" a="1"/>
  <c r="O125" i="1" s="1"/>
  <c r="N125" i="1"/>
  <c r="M125" i="1"/>
  <c r="O124" i="1"/>
  <c r="O124" i="1" a="1"/>
  <c r="N124" i="1"/>
  <c r="M124" i="1"/>
  <c r="O123" i="1"/>
  <c r="O123" i="1" a="1"/>
  <c r="N123" i="1"/>
  <c r="M123" i="1"/>
  <c r="O122" i="1" a="1"/>
  <c r="O122" i="1" s="1"/>
  <c r="N122" i="1"/>
  <c r="M122" i="1"/>
  <c r="O121" i="1" a="1"/>
  <c r="O121" i="1" s="1"/>
  <c r="N121" i="1"/>
  <c r="M121" i="1"/>
  <c r="O120" i="1"/>
  <c r="O120" i="1" a="1"/>
  <c r="N120" i="1"/>
  <c r="M120" i="1"/>
  <c r="O119" i="1" a="1"/>
  <c r="O119" i="1" s="1"/>
  <c r="N119" i="1"/>
  <c r="M119" i="1"/>
  <c r="O118" i="1" a="1"/>
  <c r="O118" i="1" s="1"/>
  <c r="N118" i="1"/>
  <c r="M118" i="1"/>
  <c r="O117" i="1"/>
  <c r="O117" i="1" a="1"/>
  <c r="N117" i="1"/>
  <c r="M117" i="1"/>
  <c r="O116" i="1" a="1"/>
  <c r="O116" i="1" s="1"/>
  <c r="N116" i="1"/>
  <c r="M116" i="1"/>
  <c r="O115" i="1"/>
  <c r="O115" i="1" a="1"/>
  <c r="N115" i="1"/>
  <c r="M115" i="1"/>
  <c r="O114" i="1"/>
  <c r="O114" i="1" a="1"/>
  <c r="N114" i="1"/>
  <c r="M114" i="1"/>
  <c r="O113" i="1" a="1"/>
  <c r="O113" i="1" s="1"/>
  <c r="N113" i="1"/>
  <c r="M113" i="1"/>
  <c r="O112" i="1" a="1"/>
  <c r="O112" i="1" s="1"/>
  <c r="N112" i="1"/>
  <c r="M112" i="1"/>
  <c r="O111" i="1"/>
  <c r="O111" i="1" a="1"/>
  <c r="N111" i="1"/>
  <c r="M111" i="1"/>
  <c r="O110" i="1" a="1"/>
  <c r="O110" i="1" s="1"/>
  <c r="N110" i="1"/>
  <c r="M110" i="1"/>
  <c r="O109" i="1"/>
  <c r="O109" i="1" a="1"/>
  <c r="N109" i="1"/>
  <c r="M109" i="1"/>
  <c r="O108" i="1"/>
  <c r="O108" i="1" a="1"/>
  <c r="N108" i="1"/>
  <c r="M108" i="1"/>
  <c r="O107" i="1" a="1"/>
  <c r="O107" i="1" s="1"/>
  <c r="N107" i="1"/>
  <c r="M107" i="1"/>
  <c r="O106" i="1" a="1"/>
  <c r="O106" i="1" s="1"/>
  <c r="N106" i="1"/>
  <c r="M106" i="1"/>
  <c r="O105" i="1"/>
  <c r="O105" i="1" a="1"/>
  <c r="N105" i="1"/>
  <c r="M105" i="1"/>
  <c r="O104" i="1" a="1"/>
  <c r="O104" i="1" s="1"/>
  <c r="N104" i="1"/>
  <c r="M104" i="1"/>
  <c r="O103" i="1" a="1"/>
  <c r="O103" i="1" s="1"/>
  <c r="N103" i="1"/>
  <c r="M103" i="1"/>
  <c r="O102" i="1"/>
  <c r="O102" i="1" a="1"/>
  <c r="N102" i="1"/>
  <c r="M102" i="1"/>
  <c r="O101" i="1" a="1"/>
  <c r="O101" i="1" s="1"/>
  <c r="N101" i="1"/>
  <c r="M101" i="1"/>
  <c r="O100" i="1" a="1"/>
  <c r="O100" i="1" s="1"/>
  <c r="N100" i="1"/>
  <c r="M100" i="1"/>
  <c r="O99" i="1"/>
  <c r="O99" i="1" a="1"/>
  <c r="N99" i="1"/>
  <c r="M99" i="1"/>
  <c r="O98" i="1" a="1"/>
  <c r="O98" i="1" s="1"/>
  <c r="N98" i="1"/>
  <c r="M98" i="1"/>
  <c r="O97" i="1" a="1"/>
  <c r="O97" i="1" s="1"/>
  <c r="N97" i="1"/>
  <c r="M97" i="1"/>
  <c r="O96" i="1"/>
  <c r="O96" i="1" a="1"/>
  <c r="N96" i="1"/>
  <c r="M96" i="1"/>
  <c r="O95" i="1" a="1"/>
  <c r="O95" i="1" s="1"/>
  <c r="N95" i="1"/>
  <c r="M95" i="1"/>
  <c r="O94" i="1"/>
  <c r="O94" i="1" a="1"/>
  <c r="N94" i="1"/>
  <c r="M94" i="1"/>
  <c r="O93" i="1"/>
  <c r="O93" i="1" a="1"/>
  <c r="N93" i="1"/>
  <c r="M93" i="1"/>
  <c r="O92" i="1" a="1"/>
  <c r="O92" i="1" s="1"/>
  <c r="N92" i="1"/>
  <c r="M92" i="1"/>
  <c r="O91" i="1" a="1"/>
  <c r="O91" i="1" s="1"/>
  <c r="N91" i="1"/>
  <c r="M91" i="1"/>
  <c r="O90" i="1"/>
  <c r="O90" i="1" a="1"/>
  <c r="N90" i="1"/>
  <c r="M90" i="1"/>
  <c r="O89" i="1" a="1"/>
  <c r="O89" i="1" s="1"/>
  <c r="N89" i="1"/>
  <c r="M89" i="1"/>
  <c r="O88" i="1"/>
  <c r="O88" i="1" a="1"/>
  <c r="N88" i="1"/>
  <c r="M88" i="1"/>
  <c r="O87" i="1"/>
  <c r="O87" i="1" a="1"/>
  <c r="N87" i="1"/>
  <c r="M87" i="1"/>
  <c r="O86" i="1" a="1"/>
  <c r="O86" i="1" s="1"/>
  <c r="N86" i="1"/>
  <c r="M86" i="1"/>
  <c r="O85" i="1" a="1"/>
  <c r="O85" i="1" s="1"/>
  <c r="N85" i="1"/>
  <c r="M85" i="1"/>
  <c r="O84" i="1"/>
  <c r="O84" i="1" a="1"/>
  <c r="N84" i="1"/>
  <c r="M84" i="1"/>
  <c r="O83" i="1" a="1"/>
  <c r="O83" i="1" s="1"/>
  <c r="N83" i="1"/>
  <c r="M83" i="1"/>
  <c r="O82" i="1" a="1"/>
  <c r="O82" i="1" s="1"/>
  <c r="N82" i="1"/>
  <c r="M82" i="1"/>
  <c r="O81" i="1"/>
  <c r="O81" i="1" a="1"/>
  <c r="N81" i="1"/>
  <c r="M81" i="1"/>
  <c r="O80" i="1" a="1"/>
  <c r="O80" i="1" s="1"/>
  <c r="N80" i="1"/>
  <c r="M80" i="1"/>
  <c r="O79" i="1"/>
  <c r="O79" i="1" a="1"/>
  <c r="N79" i="1"/>
  <c r="M79" i="1"/>
  <c r="O78" i="1"/>
  <c r="O78" i="1" a="1"/>
  <c r="N78" i="1"/>
  <c r="M78" i="1"/>
  <c r="O77" i="1" a="1"/>
  <c r="O77" i="1" s="1"/>
  <c r="N77" i="1"/>
  <c r="M77" i="1"/>
  <c r="O76" i="1" a="1"/>
  <c r="O76" i="1" s="1"/>
  <c r="N76" i="1"/>
  <c r="M76" i="1"/>
  <c r="O75" i="1"/>
  <c r="O75" i="1" a="1"/>
  <c r="N75" i="1"/>
  <c r="M75" i="1"/>
  <c r="O74" i="1" a="1"/>
  <c r="O74" i="1" s="1"/>
  <c r="N74" i="1"/>
  <c r="M74" i="1"/>
  <c r="O73" i="1"/>
  <c r="O73" i="1" a="1"/>
  <c r="N73" i="1"/>
  <c r="M73" i="1"/>
  <c r="O72" i="1"/>
  <c r="O72" i="1" a="1"/>
  <c r="N72" i="1"/>
  <c r="M72" i="1"/>
  <c r="O71" i="1" a="1"/>
  <c r="O71" i="1" s="1"/>
  <c r="N71" i="1"/>
  <c r="M71" i="1"/>
  <c r="O70" i="1" a="1"/>
  <c r="O70" i="1" s="1"/>
  <c r="N70" i="1"/>
  <c r="M70" i="1"/>
  <c r="O69" i="1"/>
  <c r="O69" i="1" a="1"/>
  <c r="N69" i="1"/>
  <c r="M69" i="1"/>
  <c r="O68" i="1" a="1"/>
  <c r="O68" i="1" s="1"/>
  <c r="N68" i="1"/>
  <c r="M68" i="1"/>
  <c r="O67" i="1" a="1"/>
  <c r="O67" i="1" s="1"/>
  <c r="N67" i="1"/>
  <c r="M67" i="1"/>
  <c r="O66" i="1"/>
  <c r="O66" i="1" a="1"/>
  <c r="N66" i="1"/>
  <c r="M66" i="1"/>
  <c r="O65" i="1" a="1"/>
  <c r="O65" i="1" s="1"/>
  <c r="N65" i="1"/>
  <c r="M65" i="1"/>
  <c r="O64" i="1" a="1"/>
  <c r="O64" i="1" s="1"/>
  <c r="N64" i="1"/>
  <c r="M64" i="1"/>
  <c r="O63" i="1"/>
  <c r="O63" i="1" a="1"/>
  <c r="N63" i="1"/>
  <c r="M63" i="1"/>
  <c r="O62" i="1" a="1"/>
  <c r="O62" i="1" s="1"/>
  <c r="N62" i="1"/>
  <c r="M62" i="1"/>
  <c r="O61" i="1" a="1"/>
  <c r="O61" i="1" s="1"/>
  <c r="N61" i="1"/>
  <c r="M61" i="1"/>
  <c r="O60" i="1"/>
  <c r="O60" i="1" a="1"/>
  <c r="N60" i="1"/>
  <c r="M60" i="1"/>
  <c r="O59" i="1" a="1"/>
  <c r="O59" i="1" s="1"/>
  <c r="N59" i="1"/>
  <c r="M59" i="1"/>
  <c r="O58" i="1"/>
  <c r="O58" i="1" a="1"/>
  <c r="N58" i="1"/>
  <c r="M58" i="1"/>
  <c r="O57" i="1"/>
  <c r="O57" i="1" a="1"/>
  <c r="N57" i="1"/>
  <c r="M57" i="1"/>
  <c r="O56" i="1" a="1"/>
  <c r="O56" i="1" s="1"/>
  <c r="N56" i="1"/>
  <c r="M56" i="1"/>
  <c r="O55" i="1" a="1"/>
  <c r="O55" i="1" s="1"/>
  <c r="N55" i="1"/>
  <c r="M55" i="1"/>
  <c r="O54" i="1"/>
  <c r="O54" i="1" a="1"/>
  <c r="N54" i="1"/>
  <c r="M54" i="1"/>
  <c r="O53" i="1" a="1"/>
  <c r="O53" i="1" s="1"/>
  <c r="N53" i="1"/>
  <c r="M53" i="1"/>
  <c r="O52" i="1"/>
  <c r="O52" i="1" a="1"/>
  <c r="N52" i="1"/>
  <c r="M52" i="1"/>
  <c r="O51" i="1"/>
  <c r="O51" i="1" a="1"/>
  <c r="N51" i="1"/>
  <c r="M51" i="1"/>
  <c r="O50" i="1" a="1"/>
  <c r="O50" i="1" s="1"/>
  <c r="N50" i="1"/>
  <c r="M50" i="1"/>
  <c r="O49" i="1" a="1"/>
  <c r="O49" i="1" s="1"/>
  <c r="N49" i="1"/>
  <c r="M49" i="1"/>
  <c r="O48" i="1"/>
  <c r="O48" i="1" a="1"/>
  <c r="N48" i="1"/>
  <c r="M48" i="1"/>
  <c r="O47" i="1" a="1"/>
  <c r="O47" i="1" s="1"/>
  <c r="N47" i="1"/>
  <c r="M47" i="1"/>
  <c r="O46" i="1" a="1"/>
  <c r="O46" i="1" s="1"/>
  <c r="N46" i="1"/>
  <c r="M46" i="1"/>
  <c r="O45" i="1"/>
  <c r="O45" i="1" a="1"/>
  <c r="N45" i="1"/>
  <c r="M45" i="1"/>
  <c r="O44" i="1" a="1"/>
  <c r="O44" i="1" s="1"/>
  <c r="N44" i="1"/>
  <c r="M44" i="1"/>
  <c r="O43" i="1"/>
  <c r="O43" i="1" a="1"/>
  <c r="N43" i="1"/>
  <c r="M43" i="1"/>
  <c r="O42" i="1"/>
  <c r="O42" i="1" a="1"/>
  <c r="N42" i="1"/>
  <c r="M42" i="1"/>
  <c r="O41" i="1" a="1"/>
  <c r="O41" i="1" s="1"/>
  <c r="N41" i="1"/>
  <c r="M41" i="1"/>
  <c r="O40" i="1" a="1"/>
  <c r="O40" i="1" s="1"/>
  <c r="N40" i="1"/>
  <c r="M40" i="1"/>
  <c r="O39" i="1"/>
  <c r="O39" i="1" a="1"/>
  <c r="N39" i="1"/>
  <c r="M39" i="1"/>
  <c r="O38" i="1" a="1"/>
  <c r="O38" i="1" s="1"/>
  <c r="N38" i="1"/>
  <c r="M38" i="1"/>
  <c r="O37" i="1"/>
  <c r="O37" i="1" a="1"/>
  <c r="N37" i="1"/>
  <c r="M37" i="1"/>
  <c r="O36" i="1"/>
  <c r="O36" i="1" a="1"/>
  <c r="N36" i="1"/>
  <c r="M36" i="1"/>
  <c r="O35" i="1" a="1"/>
  <c r="O35" i="1" s="1"/>
  <c r="N35" i="1"/>
  <c r="M35" i="1"/>
  <c r="O34" i="1" a="1"/>
  <c r="O34" i="1" s="1"/>
  <c r="N34" i="1"/>
  <c r="M34" i="1"/>
  <c r="O33" i="1"/>
  <c r="O33" i="1" a="1"/>
  <c r="N33" i="1"/>
  <c r="M33" i="1"/>
  <c r="O32" i="1" a="1"/>
  <c r="O32" i="1" s="1"/>
  <c r="N32" i="1"/>
  <c r="M32" i="1"/>
  <c r="O31" i="1" a="1"/>
  <c r="O31" i="1" s="1"/>
  <c r="N31" i="1"/>
  <c r="M31" i="1"/>
  <c r="O30" i="1"/>
  <c r="O30" i="1" a="1"/>
  <c r="N30" i="1"/>
  <c r="M30" i="1"/>
  <c r="O29" i="1" a="1"/>
  <c r="O29" i="1" s="1"/>
  <c r="N29" i="1"/>
  <c r="M29" i="1"/>
  <c r="O28" i="1" a="1"/>
  <c r="O28" i="1" s="1"/>
  <c r="N28" i="1"/>
  <c r="M28" i="1"/>
  <c r="O27" i="1"/>
  <c r="O27" i="1" a="1"/>
  <c r="N27" i="1"/>
  <c r="M27" i="1"/>
  <c r="O26" i="1" a="1"/>
  <c r="O26" i="1" s="1"/>
  <c r="N26" i="1"/>
  <c r="M26" i="1"/>
  <c r="O25" i="1" a="1"/>
  <c r="O25" i="1" s="1"/>
  <c r="N25" i="1"/>
  <c r="M25" i="1"/>
  <c r="O24" i="1"/>
  <c r="O24" i="1" a="1"/>
  <c r="N24" i="1"/>
  <c r="M24" i="1"/>
  <c r="O23" i="1" a="1"/>
  <c r="O23" i="1" s="1"/>
  <c r="N23" i="1"/>
  <c r="M23" i="1"/>
  <c r="O22" i="1"/>
  <c r="O22" i="1" a="1"/>
  <c r="N22" i="1"/>
  <c r="M22" i="1"/>
  <c r="O21" i="1"/>
  <c r="O21" i="1" a="1"/>
  <c r="N21" i="1"/>
  <c r="M21" i="1"/>
  <c r="O20" i="1" a="1"/>
  <c r="O20" i="1" s="1"/>
  <c r="N20" i="1"/>
  <c r="M20" i="1"/>
  <c r="O19" i="1" a="1"/>
  <c r="O19" i="1" s="1"/>
  <c r="N19" i="1"/>
  <c r="M19" i="1"/>
  <c r="O18" i="1"/>
  <c r="O18" i="1" a="1"/>
  <c r="N18" i="1"/>
  <c r="M18" i="1"/>
  <c r="O17" i="1" a="1"/>
  <c r="O17" i="1" s="1"/>
  <c r="N17" i="1"/>
  <c r="M17" i="1"/>
  <c r="O16" i="1"/>
  <c r="O16" i="1" a="1"/>
  <c r="N16" i="1"/>
  <c r="M16" i="1"/>
  <c r="O15" i="1"/>
  <c r="O15" i="1" a="1"/>
  <c r="N15" i="1"/>
  <c r="M15" i="1"/>
  <c r="O14" i="1" a="1"/>
  <c r="O14" i="1" s="1"/>
  <c r="N14" i="1"/>
  <c r="M14" i="1"/>
  <c r="O13" i="1" a="1"/>
  <c r="O13" i="1" s="1"/>
  <c r="N13" i="1"/>
  <c r="M13" i="1"/>
  <c r="O12" i="1"/>
  <c r="O12" i="1" a="1"/>
  <c r="N12" i="1"/>
  <c r="M12" i="1"/>
  <c r="O11" i="1" a="1"/>
  <c r="O11" i="1" s="1"/>
  <c r="N11" i="1"/>
  <c r="M11" i="1"/>
  <c r="O10" i="1" a="1"/>
  <c r="O10" i="1" s="1"/>
  <c r="N10" i="1"/>
  <c r="M10" i="1"/>
  <c r="O9" i="1"/>
  <c r="O9" i="1" a="1"/>
  <c r="N9" i="1"/>
  <c r="M9" i="1"/>
  <c r="O8" i="1" a="1"/>
  <c r="O8" i="1" s="1"/>
  <c r="N8" i="1"/>
  <c r="M8" i="1"/>
  <c r="O7" i="1"/>
  <c r="O7" i="1" a="1"/>
  <c r="N7" i="1"/>
  <c r="M7" i="1"/>
  <c r="O6" i="1"/>
  <c r="O6" i="1" a="1"/>
  <c r="N6" i="1"/>
  <c r="M6" i="1"/>
  <c r="O5" i="1" a="1"/>
  <c r="O5" i="1" s="1"/>
  <c r="N5" i="1"/>
  <c r="M5" i="1"/>
  <c r="O4" i="1" a="1"/>
  <c r="O4" i="1" s="1"/>
  <c r="N4" i="1"/>
  <c r="M4" i="1"/>
  <c r="O3" i="1"/>
  <c r="O3" i="1" a="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<sst xmlns="http://schemas.openxmlformats.org/spreadsheetml/2006/main" count="14640" uniqueCount="2541">
  <si>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</si>
  <si>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</si>
  <si>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</si>
  <si>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</si>
  <si>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</si>
  <si>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</si>
  <si>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</si>
  <si>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</si>
  <si>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</si>
  <si>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</si>
  <si>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</si>
  <si>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</si>
  <si>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</si>
  <si>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</si>
  <si>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</si>
  <si>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</si>
  <si>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</si>
  <si>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</si>
  <si>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</si>
  <si>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</si>
  <si>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</si>
  <si>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</si>
  <si>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</si>
  <si>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</si>
  <si>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</si>
  <si>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</si>
  <si>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</si>
  <si>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</si>
  <si>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</si>
  <si>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</si>
  <si>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</si>
  <si>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</si>
  <si>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</si>
  <si>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</si>
  <si>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</si>
  <si>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</si>
  <si>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</si>
  <si>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</si>
  <si>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</si>
  <si>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</si>
  <si>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</si>
  <si>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</si>
  <si>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</si>
  <si>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</si>
  <si>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</si>
  <si>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</si>
  <si>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</si>
  <si>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</si>
  <si>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</si>
  <si>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</si>
  <si>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</si>
  <si>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</si>
  <si>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</si>
  <si>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</si>
  <si>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</si>
  <si>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</si>
  <si>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</si>
  <si>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</si>
  <si>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</si>
  <si>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</si>
  <si>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</si>
  <si>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</si>
  <si>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</si>
  <si>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</si>
  <si>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</si>
  <si>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</si>
  <si>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</si>
  <si>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</si>
  <si>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</si>
  <si>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</si>
  <si>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</si>
  <si>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</si>
  <si>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</si>
  <si>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</si>
  <si>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</si>
  <si>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</si>
  <si>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</si>
  <si>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</si>
  <si>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</si>
  <si>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</si>
  <si>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</si>
  <si>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</si>
  <si>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</si>
  <si>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</si>
  <si>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</si>
  <si>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</si>
  <si>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</si>
  <si>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</si>
  <si>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</si>
  <si>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</si>
  <si>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</si>
  <si>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</si>
  <si>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</si>
  <si>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</si>
  <si>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</si>
  <si>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</si>
  <si>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</si>
  <si>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</si>
  <si>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</si>
  <si>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</si>
  <si>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</si>
  <si>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</si>
  <si>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</si>
  <si>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</si>
  <si>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</si>
  <si>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</si>
  <si>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</si>
  <si>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</si>
  <si>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</si>
  <si>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</si>
  <si>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</si>
  <si>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</si>
  <si>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</si>
  <si>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</si>
  <si>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</si>
  <si>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</si>
  <si>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</si>
  <si>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</si>
  <si>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</si>
  <si>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</si>
  <si>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</si>
  <si>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</si>
  <si>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</si>
  <si>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</si>
  <si>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</si>
  <si>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</si>
  <si>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</si>
  <si>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</si>
  <si>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</si>
  <si>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</si>
  <si>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</si>
  <si>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</si>
  <si>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</si>
  <si>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</si>
  <si>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</si>
  <si>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</si>
  <si>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</si>
  <si>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</si>
  <si>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</si>
  <si>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</si>
  <si>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</si>
  <si>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</si>
  <si>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</si>
  <si>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</si>
  <si>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</si>
  <si>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</si>
  <si>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</si>
  <si>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</si>
  <si>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</si>
  <si>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</si>
  <si>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</si>
  <si>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</si>
  <si>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</si>
  <si>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</si>
  <si>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</si>
  <si>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</si>
  <si>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</si>
  <si>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</si>
  <si>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</si>
  <si>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</si>
  <si>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</si>
  <si>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</si>
  <si>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</si>
  <si>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</si>
  <si>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</si>
  <si>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</si>
  <si>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</si>
  <si>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</si>
  <si>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</si>
  <si>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</si>
  <si>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</si>
  <si>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</si>
  <si>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</si>
  <si>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</si>
  <si>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</si>
  <si>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</si>
  <si>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</si>
  <si>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</si>
  <si>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</si>
  <si>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</si>
  <si>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</si>
  <si>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</si>
  <si>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</si>
  <si>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</si>
  <si>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</si>
  <si>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</si>
  <si>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</si>
  <si>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</si>
  <si>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</si>
  <si>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</si>
  <si>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</si>
  <si>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</si>
  <si>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</si>
  <si>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</si>
  <si>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</si>
  <si>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</si>
  <si>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</si>
  <si>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</si>
  <si>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</si>
  <si>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</si>
  <si>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</si>
  <si>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</si>
  <si>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</si>
  <si>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</si>
  <si>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</si>
  <si>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</si>
  <si>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</si>
  <si>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</si>
  <si>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</si>
  <si>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</si>
  <si>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</si>
  <si>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</si>
  <si>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</si>
  <si>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</si>
  <si>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</si>
  <si>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</si>
  <si>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</si>
  <si>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</si>
  <si>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</si>
  <si>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</si>
  <si>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</si>
  <si>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</si>
  <si>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</si>
  <si>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</si>
  <si>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</si>
  <si>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</si>
  <si>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</si>
  <si>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</si>
  <si>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</si>
  <si>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</si>
  <si>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</si>
  <si>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</si>
  <si>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</si>
  <si>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</si>
  <si>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</si>
  <si>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</si>
  <si>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</si>
  <si>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</si>
  <si>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</si>
  <si>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</si>
  <si>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</si>
  <si>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</si>
  <si>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</si>
  <si>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</si>
  <si>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</si>
  <si>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</si>
  <si>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</si>
  <si>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</si>
  <si>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</si>
  <si>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</si>
  <si>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</si>
  <si>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</si>
  <si>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</si>
  <si>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</si>
  <si>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</si>
  <si>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</si>
  <si>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</si>
  <si>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</si>
  <si>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</si>
  <si>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</si>
  <si>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</si>
  <si>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</si>
  <si>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</si>
  <si>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</si>
  <si>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</si>
  <si>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</si>
  <si>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</si>
  <si>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</si>
  <si>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</si>
  <si>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</si>
  <si>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</si>
  <si>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</si>
  <si>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</si>
  <si>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</si>
  <si>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</si>
  <si>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</si>
  <si>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</si>
  <si>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</si>
  <si>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</si>
  <si>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</si>
  <si>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</si>
  <si>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</si>
  <si>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</si>
  <si>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</si>
  <si>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</si>
  <si>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</si>
  <si>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</si>
  <si>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</si>
  <si>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</si>
  <si>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</si>
  <si>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</si>
  <si>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</si>
  <si>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</si>
  <si>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</si>
  <si>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</si>
  <si>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</si>
  <si>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</si>
  <si>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</si>
  <si>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</si>
  <si>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</si>
  <si>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</si>
  <si>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</si>
  <si>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</si>
  <si>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</si>
  <si>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</si>
  <si>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</si>
  <si>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</si>
  <si>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</si>
  <si>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</si>
  <si>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</si>
  <si>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</si>
  <si>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</si>
  <si>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</si>
  <si>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</si>
  <si>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</si>
  <si>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</si>
  <si>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</si>
  <si>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</si>
  <si>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</si>
  <si>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</si>
  <si>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</si>
  <si>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</si>
  <si>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</si>
  <si>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</si>
  <si>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</si>
  <si>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</si>
  <si>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</si>
  <si>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</si>
  <si>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</si>
  <si>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</si>
  <si>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</si>
  <si>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</si>
  <si>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</si>
  <si>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</si>
  <si>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</si>
  <si>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</si>
  <si>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</si>
  <si>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</si>
  <si>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</si>
  <si>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</si>
  <si>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</si>
  <si>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</si>
  <si>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</si>
  <si>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</si>
  <si>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</si>
  <si>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</si>
  <si>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</si>
  <si>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</si>
  <si>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</si>
  <si>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</si>
  <si>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</si>
  <si>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</si>
  <si>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</si>
  <si>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</si>
  <si>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</si>
  <si>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</si>
  <si>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</si>
  <si>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</si>
  <si>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</si>
  <si>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</si>
  <si>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</si>
  <si>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</si>
  <si>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</si>
  <si>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</si>
  <si>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</si>
  <si>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</si>
  <si>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</si>
  <si>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</si>
  <si>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</si>
  <si>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</si>
  <si>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</si>
  <si>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</si>
  <si>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</si>
  <si>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</si>
  <si>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</si>
  <si>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</si>
  <si>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</si>
  <si>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</si>
  <si>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</si>
  <si>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</si>
  <si>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</si>
  <si>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</si>
  <si>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</si>
  <si>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</si>
  <si>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</si>
  <si>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</si>
  <si>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</si>
  <si>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</si>
  <si>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</si>
  <si>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</si>
  <si>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</si>
  <si>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</si>
  <si>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</si>
  <si>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</si>
  <si>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</si>
  <si>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</si>
  <si>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</si>
  <si>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</si>
  <si>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</si>
  <si>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</si>
  <si>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</si>
  <si>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</si>
  <si>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</si>
  <si>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</si>
  <si>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</si>
  <si>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</si>
  <si>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</si>
  <si>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</si>
  <si>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</si>
  <si>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</si>
  <si>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</si>
  <si>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</si>
  <si>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</si>
  <si>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</si>
  <si>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</si>
  <si>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</si>
  <si>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</si>
  <si>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</si>
  <si>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</si>
  <si>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</si>
  <si>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</si>
  <si>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</si>
  <si>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</si>
  <si>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</si>
  <si>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</si>
  <si>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</si>
  <si>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</si>
  <si>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</si>
  <si>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</si>
  <si>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</si>
  <si>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</si>
  <si>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</si>
  <si>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</si>
  <si>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</si>
  <si>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</si>
  <si>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</si>
  <si>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</si>
  <si>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</si>
  <si>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</si>
  <si>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</si>
  <si>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</si>
  <si>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</si>
  <si>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</si>
  <si>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</si>
  <si>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</si>
  <si>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</si>
  <si>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</si>
  <si>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</si>
  <si>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</si>
  <si>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</si>
  <si>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</si>
  <si>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</si>
  <si>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</si>
  <si>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</si>
  <si>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</si>
  <si>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</si>
  <si>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</si>
  <si>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</si>
  <si>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</si>
  <si>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</si>
  <si>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</si>
  <si>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</si>
  <si>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</si>
  <si>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</si>
  <si>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</si>
  <si>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</si>
  <si>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</si>
  <si>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</si>
  <si>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</si>
  <si>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</si>
  <si>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</si>
  <si>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</si>
  <si>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</si>
  <si>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</si>
  <si>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</si>
  <si>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</si>
  <si>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</si>
  <si>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</si>
  <si>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</si>
  <si>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</si>
  <si>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</si>
  <si>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</si>
  <si>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</si>
  <si>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</si>
  <si>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</si>
  <si>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</si>
  <si>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</si>
  <si>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</si>
  <si>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</si>
  <si>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</si>
  <si>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</si>
  <si>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</si>
  <si>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</si>
  <si>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</si>
  <si>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</si>
  <si>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</si>
  <si>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</si>
  <si>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</si>
  <si>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</si>
  <si>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</si>
  <si>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</si>
  <si>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</si>
  <si>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</si>
  <si>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</si>
  <si>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</si>
  <si>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</si>
  <si>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</si>
  <si>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</si>
  <si>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</si>
  <si>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</si>
  <si>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</si>
  <si>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</si>
  <si>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</si>
  <si>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</si>
  <si>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</si>
  <si>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</si>
  <si>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</si>
  <si>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</si>
  <si>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</si>
  <si>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</si>
  <si>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</si>
  <si>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</si>
  <si>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</si>
  <si>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</si>
  <si>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</si>
  <si>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</si>
  <si>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</si>
  <si>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</si>
  <si>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</si>
  <si>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</si>
  <si>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</si>
  <si>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</si>
  <si>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</si>
  <si>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</si>
  <si>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</si>
  <si>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</si>
  <si>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</si>
  <si>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</si>
  <si>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</si>
  <si>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</si>
  <si>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</si>
  <si>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</si>
  <si>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</si>
  <si>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</si>
  <si>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</si>
  <si>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</si>
  <si>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</si>
  <si>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</si>
  <si>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</si>
  <si>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</si>
  <si>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</si>
  <si>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</si>
  <si>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</si>
  <si>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</si>
  <si>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</si>
  <si>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</si>
  <si>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</si>
  <si>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</si>
  <si>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</si>
  <si>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</si>
  <si>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</si>
  <si>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</si>
  <si>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</si>
  <si>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</si>
  <si>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</si>
  <si>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</si>
  <si>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</si>
  <si>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</si>
  <si>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</si>
  <si>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</si>
  <si>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</si>
  <si>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</si>
  <si>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</si>
  <si>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</si>
  <si>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</si>
  <si>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</si>
  <si>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</si>
  <si>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</si>
  <si>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</si>
  <si>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</si>
  <si>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</si>
  <si>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</si>
  <si>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</si>
  <si>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</si>
  <si>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</si>
  <si>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</si>
  <si>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</si>
  <si>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</si>
  <si>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</si>
  <si>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</si>
  <si>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</si>
  <si>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</si>
  <si>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</si>
  <si>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</si>
  <si>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</si>
  <si>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</si>
  <si>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</si>
  <si>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</si>
  <si>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</si>
  <si>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</si>
  <si>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</si>
  <si>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</si>
  <si>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</si>
  <si>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</si>
  <si>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</si>
  <si>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</si>
  <si>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</si>
  <si>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</si>
  <si>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</si>
  <si>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</si>
  <si>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</si>
  <si>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</si>
  <si>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</si>
  <si>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</si>
  <si>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</si>
  <si>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</si>
  <si>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</si>
  <si>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</si>
  <si>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</si>
  <si>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</si>
  <si>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</si>
  <si>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</si>
  <si>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</si>
  <si>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</si>
  <si>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</si>
  <si>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</si>
  <si>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</si>
  <si>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</si>
  <si>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</si>
  <si>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</si>
  <si>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</si>
  <si>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</si>
  <si>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</si>
  <si>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</si>
  <si>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</si>
  <si>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</si>
  <si>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</si>
  <si>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</si>
  <si>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</si>
  <si>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</si>
  <si>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</si>
  <si>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</si>
  <si>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</si>
  <si>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</si>
  <si>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</si>
  <si>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</si>
  <si>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</si>
  <si>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</si>
  <si>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</si>
  <si>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</si>
  <si>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</si>
  <si>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</si>
  <si>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</si>
  <si>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</si>
  <si>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</si>
  <si>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</si>
  <si>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</si>
  <si>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</si>
  <si>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</si>
  <si>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</si>
  <si>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</si>
  <si>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</si>
  <si>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</si>
  <si>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</si>
  <si>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</si>
  <si>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</si>
  <si>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</si>
  <si>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</si>
  <si>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</si>
  <si>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</si>
  <si>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</si>
  <si>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</si>
  <si>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</si>
  <si>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</si>
  <si>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</si>
  <si>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</si>
  <si>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</si>
  <si>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</si>
  <si>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</si>
  <si>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</si>
  <si>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</si>
  <si>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</si>
  <si>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</si>
  <si>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</si>
  <si>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</si>
  <si>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</si>
  <si>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</si>
  <si>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</si>
  <si>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</si>
  <si>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</si>
  <si>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</si>
  <si>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</si>
  <si>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</si>
  <si>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</si>
  <si>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</si>
  <si>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</si>
  <si>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</si>
  <si>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</si>
  <si>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</si>
  <si>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</si>
  <si>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</si>
  <si>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</si>
  <si>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</si>
  <si>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</si>
  <si>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</si>
  <si>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</si>
  <si>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</si>
  <si>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</si>
  <si>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</si>
  <si>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</si>
  <si>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</si>
  <si>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</si>
  <si>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</si>
  <si>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</si>
  <si>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</si>
  <si>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</si>
  <si>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</si>
  <si>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</si>
  <si>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</si>
  <si>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</si>
  <si>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</si>
  <si>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</si>
  <si>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</si>
  <si>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</si>
  <si>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</si>
  <si>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</si>
  <si>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</si>
  <si>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</si>
  <si>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</si>
  <si>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</si>
  <si>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</si>
  <si>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</si>
  <si>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</si>
  <si>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</si>
  <si>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</si>
  <si>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</si>
  <si>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</si>
  <si>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</si>
  <si>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</si>
  <si>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</si>
  <si>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</si>
  <si>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</si>
  <si>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</si>
  <si>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</si>
  <si>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</si>
  <si>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</si>
  <si>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</si>
  <si>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</si>
  <si>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</si>
  <si>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</si>
  <si>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</si>
  <si>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</si>
  <si>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</si>
  <si>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</si>
  <si>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</si>
  <si>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</si>
  <si>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</si>
  <si>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</si>
  <si>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</si>
  <si>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</si>
  <si>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</si>
  <si>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</si>
  <si>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</si>
  <si>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</si>
  <si>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</si>
  <si>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</si>
  <si>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</si>
  <si>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</si>
  <si>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</si>
  <si>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</si>
  <si>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</si>
  <si>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</si>
  <si>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</si>
  <si>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</si>
  <si>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</si>
  <si>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</si>
  <si>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</si>
  <si>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</si>
  <si>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</si>
  <si>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</si>
  <si>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</si>
  <si>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</si>
  <si>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</si>
  <si>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</si>
  <si>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</si>
  <si>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</si>
  <si>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</si>
  <si>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</si>
  <si>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</si>
  <si>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</si>
  <si>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</si>
  <si>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</si>
  <si>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</si>
  <si>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</si>
  <si>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</si>
  <si>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</si>
  <si>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</si>
  <si>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</si>
  <si>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</si>
  <si>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</si>
  <si>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</si>
  <si>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</si>
  <si>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</si>
  <si>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</si>
  <si>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</si>
  <si>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</si>
  <si>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</si>
  <si>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</si>
  <si>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</si>
  <si>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</si>
  <si>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</si>
  <si>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</si>
  <si>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</si>
  <si>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</si>
  <si>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</si>
  <si>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</si>
  <si>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</si>
  <si>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</si>
  <si>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</si>
  <si>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</si>
  <si>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</si>
  <si>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</si>
  <si>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</si>
  <si>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</si>
  <si>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</si>
  <si>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</si>
  <si>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</si>
  <si>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</si>
  <si>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</si>
  <si>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</si>
  <si>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</si>
  <si>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</si>
  <si>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</si>
  <si>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</si>
  <si>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</si>
  <si>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</si>
  <si>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</si>
  <si>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</si>
  <si>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</si>
  <si>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</si>
  <si>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</si>
  <si>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</si>
  <si>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</si>
  <si>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</si>
  <si>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</si>
  <si>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</si>
  <si>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</si>
  <si>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</si>
  <si>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</si>
  <si>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</si>
  <si>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</si>
  <si>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</si>
  <si>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</si>
  <si>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</si>
  <si>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</si>
  <si>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</si>
  <si>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</si>
  <si>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</si>
  <si>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</si>
  <si>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</si>
  <si>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</si>
  <si>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</si>
  <si>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</si>
  <si>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</si>
  <si>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</si>
  <si>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</si>
  <si>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</si>
  <si>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</si>
  <si>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</si>
  <si>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</si>
  <si>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</si>
  <si>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</si>
  <si>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</si>
  <si>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</si>
  <si>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</si>
  <si>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</si>
  <si>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</si>
  <si>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</si>
  <si>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</si>
  <si>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</si>
  <si>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</si>
  <si>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</si>
  <si>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</si>
  <si>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</si>
  <si>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</si>
  <si>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</si>
  <si>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</si>
  <si>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</si>
  <si>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</si>
  <si>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</si>
  <si>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</si>
  <si>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</si>
  <si>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</si>
  <si>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</si>
  <si>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</si>
  <si>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</si>
  <si>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</si>
  <si>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</si>
  <si>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</si>
  <si>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</si>
  <si>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</si>
  <si>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</si>
  <si>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</si>
  <si>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</si>
  <si>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</si>
  <si>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</si>
  <si>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</si>
  <si>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</si>
  <si>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</si>
  <si>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</si>
  <si>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</si>
  <si>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</si>
  <si>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</si>
  <si>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</si>
  <si>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</si>
  <si>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</si>
  <si>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</si>
  <si>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</si>
  <si>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</si>
  <si>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</si>
  <si>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</si>
  <si>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</si>
  <si>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</si>
  <si>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</si>
  <si>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</si>
  <si>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</si>
  <si>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</si>
  <si>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</si>
  <si>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</si>
  <si>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</si>
  <si>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</si>
  <si>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</si>
  <si>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</si>
  <si>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</si>
  <si>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</si>
  <si>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</si>
  <si>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</si>
  <si>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</si>
  <si>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</si>
  <si>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</si>
  <si>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</si>
  <si>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</si>
  <si>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</si>
  <si>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</si>
  <si>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</si>
  <si>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</si>
  <si>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</si>
  <si>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</si>
  <si>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</si>
  <si>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</si>
  <si>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</si>
  <si>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</si>
  <si>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</si>
  <si>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</si>
  <si>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</si>
  <si>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</si>
  <si>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</si>
  <si>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</si>
  <si>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</si>
  <si>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</si>
  <si>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</si>
  <si>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</si>
  <si>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</si>
  <si>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</si>
  <si>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</si>
  <si>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</si>
  <si>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</si>
  <si>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</si>
  <si>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</si>
  <si>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</si>
  <si>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</si>
  <si>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</si>
  <si>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</si>
  <si>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</si>
  <si>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</si>
  <si>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</si>
  <si>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</si>
  <si>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</si>
  <si>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</si>
  <si>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</si>
  <si>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</si>
  <si>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</si>
  <si>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</si>
  <si>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</si>
  <si>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</si>
  <si>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</si>
  <si>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</si>
  <si>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</si>
  <si>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</si>
  <si>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</si>
  <si>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</si>
  <si>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</si>
  <si>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</si>
  <si>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</si>
  <si>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</si>
  <si>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</si>
  <si>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</si>
  <si>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</si>
  <si>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</si>
  <si>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</si>
  <si>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</si>
  <si>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</si>
  <si>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</si>
  <si>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</si>
  <si>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</si>
  <si>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</si>
  <si>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</si>
  <si>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</si>
  <si>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</si>
  <si>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</si>
  <si>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</si>
  <si>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</si>
  <si>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</si>
  <si>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</si>
  <si>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</si>
  <si>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</si>
  <si>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</si>
  <si>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</si>
  <si>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</si>
  <si>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</si>
  <si>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</si>
  <si>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</si>
  <si>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</si>
  <si>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</si>
  <si>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</si>
  <si>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</si>
  <si>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</si>
  <si>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</si>
  <si>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</si>
  <si>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</si>
  <si>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</si>
  <si>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</si>
  <si>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</si>
  <si>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</si>
  <si>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</si>
  <si>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</si>
  <si>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</si>
  <si>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</si>
  <si>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</si>
  <si>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</si>
  <si>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</si>
  <si>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</si>
  <si>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</si>
  <si>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</si>
  <si>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</si>
  <si>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</si>
  <si>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</si>
  <si>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</si>
  <si>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</si>
  <si>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</si>
  <si>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</si>
  <si>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</si>
  <si>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</si>
  <si>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</si>
  <si>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</si>
  <si>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</si>
  <si>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</si>
  <si>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</si>
  <si>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</si>
  <si>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</si>
  <si>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</si>
  <si>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</si>
  <si>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</si>
  <si>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</si>
  <si>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</si>
  <si>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</si>
  <si>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</si>
  <si>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</si>
  <si>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</si>
  <si>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</si>
  <si>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</si>
  <si>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</si>
  <si>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</si>
  <si>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</si>
  <si>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</si>
  <si>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</si>
  <si>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</si>
  <si>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</si>
  <si>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</si>
  <si>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</si>
  <si>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</si>
  <si>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</si>
  <si>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</si>
  <si>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</si>
  <si>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</si>
  <si>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</si>
  <si>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</si>
  <si>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</si>
  <si>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</si>
  <si>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</si>
  <si>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</si>
  <si>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</si>
  <si>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</si>
  <si>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</si>
  <si>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</si>
  <si>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</si>
  <si>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</si>
  <si>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</si>
  <si>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</si>
  <si>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</si>
  <si>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</si>
  <si>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</si>
  <si>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</si>
  <si>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</si>
  <si>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</si>
  <si>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</si>
  <si>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</si>
  <si>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</si>
  <si>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</si>
  <si>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</si>
  <si>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</si>
  <si>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</si>
  <si>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</si>
  <si>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</si>
  <si>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</si>
  <si>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</si>
  <si>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</si>
  <si>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</si>
  <si>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</si>
  <si>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</si>
  <si>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</si>
  <si>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</si>
  <si>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</si>
  <si>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</si>
  <si>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</si>
  <si>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</si>
  <si>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</si>
  <si>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</si>
  <si>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</si>
  <si>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</si>
  <si>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</si>
  <si>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</si>
  <si>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</si>
  <si>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</si>
  <si>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</si>
  <si>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</si>
  <si>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</si>
  <si>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</si>
  <si>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</si>
  <si>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</si>
  <si>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</si>
  <si>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</si>
  <si>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</si>
  <si>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</si>
  <si>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</si>
  <si>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</si>
  <si>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</si>
  <si>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</si>
  <si>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</si>
  <si>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</si>
  <si>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</si>
  <si>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</si>
  <si>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</si>
  <si>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</si>
  <si>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</si>
  <si>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</si>
  <si>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</si>
  <si>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</si>
  <si>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</si>
  <si>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</si>
  <si>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</si>
  <si>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</si>
  <si>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</si>
  <si>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</si>
  <si>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</si>
  <si>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</si>
  <si>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</si>
  <si>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</si>
  <si>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</si>
  <si>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</si>
  <si>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</si>
  <si>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</si>
  <si>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</si>
  <si>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</si>
  <si>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</si>
  <si>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</si>
  <si>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</si>
  <si>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</si>
  <si>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</si>
  <si>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</si>
  <si>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</si>
  <si>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</si>
  <si>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</si>
  <si>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</si>
  <si>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</si>
  <si>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</si>
  <si>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</si>
  <si>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</si>
  <si>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</si>
  <si>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</si>
  <si>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</si>
  <si>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</si>
  <si>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</si>
  <si>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</si>
  <si>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</si>
  <si>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</si>
  <si>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</si>
  <si>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</si>
  <si>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</si>
  <si>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</si>
  <si>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</si>
  <si>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</si>
  <si>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</si>
  <si>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</si>
  <si>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</si>
  <si>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</si>
  <si>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</si>
  <si>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</si>
  <si>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</si>
  <si>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</si>
  <si>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</si>
  <si>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</si>
  <si>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</si>
  <si>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</si>
  <si>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</si>
  <si>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</si>
  <si>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</si>
  <si>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</si>
  <si>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</si>
  <si>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</si>
  <si>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</si>
  <si>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</si>
  <si>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</si>
  <si>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</si>
  <si>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</si>
  <si>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</si>
  <si>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</si>
  <si>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</si>
  <si>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</si>
  <si>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</si>
  <si>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</si>
  <si>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</si>
  <si>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</si>
  <si>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</si>
  <si>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</si>
  <si>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</si>
  <si>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</si>
  <si>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</si>
  <si>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</si>
  <si>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</si>
  <si>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</si>
  <si>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</si>
  <si>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</si>
  <si>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</si>
  <si>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</si>
  <si>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</si>
  <si>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</si>
  <si>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</si>
  <si>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</si>
  <si>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</si>
  <si>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</si>
  <si>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</si>
  <si>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</si>
  <si>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</si>
  <si>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</si>
  <si>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</si>
  <si>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</si>
  <si>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</si>
  <si>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</si>
  <si>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</si>
  <si>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</si>
  <si>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</si>
  <si>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</si>
  <si>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</si>
  <si>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</si>
  <si>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</si>
  <si>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</si>
  <si>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</si>
  <si>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</si>
  <si>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</si>
  <si>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</si>
  <si>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</si>
  <si>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</si>
  <si>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</si>
  <si>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</si>
  <si>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</si>
  <si>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</si>
  <si>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</si>
  <si>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</si>
  <si>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</si>
  <si>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</si>
  <si>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</si>
  <si>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</si>
  <si>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</si>
  <si>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</si>
  <si>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</si>
  <si>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</si>
  <si>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</si>
  <si>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</si>
  <si>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</si>
  <si>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</si>
  <si>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</si>
  <si>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</si>
  <si>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</si>
  <si>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</si>
  <si>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</si>
  <si>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</si>
  <si>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</si>
  <si>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</si>
  <si>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</si>
  <si>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</si>
  <si>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</si>
  <si>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</si>
  <si>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</si>
  <si>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</si>
  <si>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</si>
  <si>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</si>
  <si>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</si>
  <si>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</si>
  <si>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</si>
  <si>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</si>
  <si>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</si>
  <si>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</si>
  <si>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</si>
  <si>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</si>
  <si>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</si>
  <si>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</si>
  <si>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</si>
  <si>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</si>
  <si>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</si>
  <si>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</si>
  <si>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</si>
  <si>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</si>
  <si>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</si>
  <si>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</si>
  <si>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</si>
  <si>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</si>
  <si>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</si>
  <si>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</si>
  <si>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</si>
  <si>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</si>
  <si>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</si>
  <si>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</si>
  <si>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</si>
  <si>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</si>
  <si>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</si>
  <si>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</si>
  <si>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</si>
  <si>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</si>
  <si>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</si>
  <si>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</si>
  <si>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</si>
  <si>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</si>
  <si>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</si>
  <si>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</si>
  <si>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</si>
  <si>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</si>
  <si>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</si>
  <si>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</si>
  <si>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</si>
  <si>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</si>
  <si>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</si>
  <si>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</si>
  <si>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</si>
  <si>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</si>
  <si>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</si>
  <si>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</si>
  <si>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</si>
  <si>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</si>
  <si>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</si>
  <si>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</si>
  <si>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</si>
  <si>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</si>
  <si>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</si>
  <si>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</si>
  <si>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</si>
  <si>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</si>
  <si>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</si>
  <si>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</si>
  <si>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</si>
  <si>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</si>
  <si>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</si>
  <si>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</si>
  <si>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</si>
  <si>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</si>
  <si>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</si>
  <si>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</si>
  <si>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</si>
  <si>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</si>
  <si>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</si>
  <si>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</si>
  <si>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</si>
  <si>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</si>
  <si>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</si>
  <si>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</si>
  <si>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</si>
  <si>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</si>
  <si>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</si>
  <si>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</si>
  <si>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</si>
  <si>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</si>
  <si>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</si>
  <si>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</si>
  <si>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</si>
  <si>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</si>
  <si>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</si>
  <si>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</si>
  <si>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</si>
  <si>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</si>
  <si>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</si>
  <si>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</si>
  <si>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</si>
  <si>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</si>
  <si>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</si>
  <si>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</si>
  <si>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</si>
  <si>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</si>
  <si>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</si>
  <si>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</si>
  <si>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</si>
  <si>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</si>
  <si>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</si>
  <si>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</si>
  <si>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</si>
  <si>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</si>
  <si>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</si>
  <si>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</si>
  <si>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</si>
  <si>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</si>
  <si>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</si>
  <si>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</si>
  <si>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</si>
  <si>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</si>
  <si>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</si>
  <si>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</si>
  <si>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</si>
  <si>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</si>
  <si>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</si>
  <si>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</si>
  <si>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</si>
  <si>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</si>
  <si>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</si>
  <si>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</si>
  <si>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</si>
  <si>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</si>
  <si>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</si>
  <si>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</si>
  <si>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</si>
  <si>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</si>
  <si>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</si>
  <si>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</si>
  <si>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</si>
  <si>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</si>
  <si>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</si>
  <si>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</si>
  <si>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</si>
  <si>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</si>
  <si>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</si>
  <si>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</si>
  <si>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</si>
  <si>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</si>
  <si>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</si>
  <si>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</si>
  <si>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</si>
  <si>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</si>
  <si>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</si>
  <si>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</si>
  <si>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</si>
  <si>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</si>
  <si>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</si>
  <si>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</si>
  <si>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</si>
  <si>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</si>
  <si>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</si>
  <si>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</si>
  <si>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</si>
  <si>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</si>
  <si>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</si>
  <si>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</si>
  <si>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</si>
  <si>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</si>
  <si>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</si>
  <si>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</si>
  <si>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</si>
  <si>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</si>
  <si>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</si>
  <si>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</si>
  <si>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</si>
  <si>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</si>
  <si>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</si>
  <si>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</si>
  <si>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</si>
  <si>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</si>
  <si>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</si>
  <si>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</si>
  <si>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</si>
  <si>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</si>
  <si>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</si>
  <si>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</si>
  <si>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</si>
  <si>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</si>
  <si>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</si>
  <si>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</si>
  <si>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</si>
  <si>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</si>
  <si>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</si>
  <si>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</si>
  <si>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</si>
  <si>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</si>
  <si>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</si>
  <si>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</si>
  <si>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</si>
  <si>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</si>
  <si>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</si>
  <si>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</si>
  <si>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</si>
  <si>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</si>
  <si>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</si>
  <si>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</si>
  <si>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</si>
  <si>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</si>
  <si>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</si>
  <si>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</si>
  <si>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</si>
  <si>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</si>
  <si>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</si>
  <si>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</si>
  <si>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</si>
  <si>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</si>
  <si>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</si>
  <si>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</si>
  <si>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</si>
  <si>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</si>
  <si>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</si>
  <si>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</si>
  <si>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</si>
  <si>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</si>
  <si>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</si>
  <si>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</si>
  <si>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</si>
  <si>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</si>
  <si>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</si>
  <si>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</si>
  <si>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</si>
  <si>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</si>
  <si>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</si>
  <si>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</si>
  <si>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</si>
  <si>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</si>
  <si>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</si>
  <si>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</si>
  <si>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</si>
  <si>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</si>
  <si>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</si>
  <si>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</si>
  <si>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</si>
  <si>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</si>
  <si>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</si>
  <si>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</si>
  <si>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</si>
  <si>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</si>
  <si>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</si>
  <si>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</si>
  <si>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</si>
  <si>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</si>
  <si>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</si>
  <si>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</si>
  <si>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</si>
  <si>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</si>
  <si>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</si>
  <si>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</si>
  <si>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</si>
  <si>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</si>
  <si>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</si>
  <si>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</si>
  <si>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</si>
  <si>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</si>
  <si>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</si>
  <si>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</si>
  <si>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</si>
  <si>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</si>
  <si>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</si>
  <si>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</si>
  <si>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</si>
  <si>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</si>
  <si>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</si>
  <si>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</si>
  <si>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</si>
  <si>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</si>
  <si>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</si>
  <si>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</si>
  <si>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</si>
  <si>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</si>
  <si>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</si>
  <si>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</si>
  <si>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</si>
  <si>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</si>
  <si>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</si>
  <si>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</si>
  <si>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</si>
  <si>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</si>
  <si>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</si>
  <si>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</si>
  <si>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</si>
  <si>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</si>
  <si>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</si>
  <si>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</si>
  <si>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</si>
  <si>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</si>
  <si>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</si>
  <si>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</si>
  <si>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</si>
  <si>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</si>
  <si>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</si>
  <si>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</si>
  <si>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</si>
  <si>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</si>
  <si>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</si>
  <si>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</si>
  <si>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</si>
  <si>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</si>
  <si>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</si>
  <si>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</si>
  <si>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</si>
  <si>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</si>
  <si>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</si>
  <si>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</si>
  <si>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</si>
  <si>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</si>
  <si>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</si>
  <si>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</si>
  <si>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</si>
  <si>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</si>
  <si>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</si>
  <si>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</si>
  <si>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</si>
  <si>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</si>
  <si>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</si>
  <si>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</si>
  <si>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</si>
  <si>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</si>
  <si>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</si>
  <si>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</si>
  <si>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</si>
  <si>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</si>
  <si>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</si>
  <si>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</si>
  <si>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</si>
  <si>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</si>
  <si>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</si>
  <si>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</si>
  <si>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</si>
  <si>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</si>
  <si>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</si>
  <si>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</si>
  <si>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</si>
  <si>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</si>
  <si>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</si>
  <si>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</si>
  <si>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</si>
  <si>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</si>
  <si>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</si>
  <si>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</si>
  <si>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</si>
  <si>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</si>
  <si>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</si>
  <si>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</si>
  <si>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</si>
  <si>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</si>
  <si>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</si>
  <si>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</si>
  <si>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</si>
  <si>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</si>
  <si>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</si>
  <si>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</si>
  <si>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</si>
  <si>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</si>
  <si>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</si>
  <si>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</si>
  <si>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</si>
  <si>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</si>
  <si>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</si>
  <si>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</si>
  <si>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</si>
  <si>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</si>
  <si>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</si>
  <si>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</si>
  <si>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</si>
  <si>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</si>
  <si>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</si>
  <si>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</si>
  <si>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</si>
  <si>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</si>
  <si>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</si>
  <si>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</si>
  <si>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</si>
  <si>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</si>
  <si>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</si>
  <si>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</si>
  <si>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</si>
  <si>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</si>
  <si>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</si>
  <si>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</si>
  <si>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</si>
  <si>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</si>
  <si>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</si>
  <si>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</si>
  <si>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</si>
  <si>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</si>
  <si>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</si>
  <si>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</si>
  <si>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</si>
  <si>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</si>
  <si>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</si>
  <si>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</si>
  <si>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</si>
  <si>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</si>
  <si>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</si>
  <si>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</si>
  <si>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</si>
  <si>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</si>
  <si>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</si>
  <si>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</si>
  <si>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</si>
  <si>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</si>
  <si>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</si>
  <si>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</si>
  <si>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</si>
  <si>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</si>
  <si>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</si>
  <si>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</si>
  <si>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</si>
  <si>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</si>
  <si>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</si>
  <si>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</si>
  <si>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</si>
  <si>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</si>
  <si>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</si>
  <si>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</si>
  <si>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</si>
  <si>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</si>
  <si>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</si>
  <si>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</si>
  <si>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</si>
  <si>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</si>
  <si>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</si>
  <si>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</si>
  <si>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</si>
  <si>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</si>
  <si>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</si>
  <si>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</si>
  <si>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</si>
  <si>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</si>
  <si>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</si>
  <si>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</si>
  <si>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</si>
  <si>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</si>
  <si>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</si>
  <si>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</si>
  <si>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</si>
  <si>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</si>
  <si>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</si>
  <si>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</si>
  <si>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</si>
  <si>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</si>
  <si>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</si>
  <si>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</si>
  <si>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</si>
  <si>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</si>
  <si>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</si>
  <si>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</si>
  <si>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</si>
  <si>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</si>
  <si>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</si>
  <si>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</si>
  <si>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</si>
  <si>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</si>
  <si>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</si>
  <si>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</si>
  <si>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</si>
  <si>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</si>
  <si>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</si>
  <si>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</si>
  <si>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</si>
  <si>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</si>
  <si>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</si>
  <si>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</si>
  <si>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</si>
  <si>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</si>
  <si>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</si>
  <si>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</si>
  <si>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</si>
  <si>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</si>
  <si>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</si>
  <si>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</si>
  <si>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</si>
  <si>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</si>
  <si>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</si>
  <si>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</si>
  <si>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</si>
  <si>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</si>
  <si>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</si>
  <si>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</si>
  <si>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</si>
  <si>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</si>
  <si>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</si>
  <si>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</si>
  <si>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</si>
  <si>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</si>
  <si>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</si>
  <si>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</si>
  <si>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</si>
  <si>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</si>
  <si>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</si>
  <si>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</si>
  <si>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</si>
  <si>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</si>
  <si>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</si>
  <si>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</si>
  <si>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</si>
  <si>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</si>
  <si>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</si>
  <si>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</si>
  <si>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</si>
  <si>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</si>
  <si>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</si>
  <si>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</si>
  <si>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</si>
  <si>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</si>
  <si>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</si>
  <si>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</si>
  <si>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</si>
  <si>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</si>
  <si>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</si>
  <si>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</si>
  <si>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</si>
  <si>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</si>
  <si>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</si>
  <si>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</si>
  <si>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</si>
  <si>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</si>
  <si>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</si>
  <si>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</si>
  <si>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</si>
  <si>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</si>
  <si>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</si>
  <si>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</si>
  <si>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</si>
  <si>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</si>
  <si>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</si>
  <si>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</si>
  <si>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</si>
  <si>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</si>
  <si>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</si>
  <si>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</si>
  <si>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</si>
  <si>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</si>
  <si>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</si>
  <si>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</si>
  <si>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</si>
  <si>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</si>
  <si>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</si>
  <si>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</si>
  <si>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</si>
  <si>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</si>
  <si>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</si>
  <si>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</si>
  <si>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</si>
  <si>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</si>
  <si>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</si>
  <si>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</si>
  <si>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</si>
  <si>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</si>
  <si>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</si>
  <si>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</si>
  <si>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</si>
  <si>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</si>
  <si>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</si>
  <si>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</si>
  <si>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</si>
  <si>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</si>
  <si>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</si>
  <si>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</si>
  <si>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</si>
  <si>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</si>
  <si>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</si>
  <si>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</si>
  <si>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</si>
  <si>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</si>
  <si>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</si>
  <si>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</si>
  <si>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</si>
  <si>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</si>
  <si>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</si>
  <si>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</si>
  <si>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</si>
  <si>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</si>
  <si>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</si>
  <si>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</si>
  <si>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</si>
  <si>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</si>
  <si>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</si>
  <si>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</si>
  <si>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</si>
  <si>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</si>
  <si>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</si>
  <si>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</si>
  <si>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</si>
  <si>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</si>
  <si>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</si>
  <si>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</si>
  <si>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</si>
  <si>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</si>
  <si>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</si>
  <si>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</si>
  <si>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</si>
  <si>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</si>
  <si>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</si>
  <si>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</si>
  <si>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</si>
  <si>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</si>
  <si>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</si>
  <si>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</si>
  <si>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</si>
  <si>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</si>
  <si>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</si>
  <si>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</si>
  <si>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</si>
  <si>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</si>
  <si>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</si>
  <si>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</si>
  <si>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</si>
  <si>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</si>
  <si>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</si>
  <si>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</si>
  <si>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</si>
  <si>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</si>
  <si>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</si>
  <si>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</si>
  <si>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</si>
  <si>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</si>
  <si>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</si>
  <si>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</si>
  <si>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</si>
  <si>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</si>
  <si>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</si>
  <si>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</si>
  <si>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</si>
  <si>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</si>
  <si>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</si>
  <si>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</si>
  <si>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</si>
  <si>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</si>
  <si>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</si>
  <si>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</si>
  <si>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</si>
  <si>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</si>
  <si>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</si>
  <si>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</si>
  <si>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</si>
  <si>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</si>
  <si>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</si>
  <si>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</si>
  <si>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</si>
  <si>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</si>
  <si>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</si>
  <si>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</si>
  <si>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</si>
  <si>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</si>
  <si>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</si>
  <si>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</si>
  <si>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</si>
  <si>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</si>
  <si>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</si>
  <si>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</si>
  <si>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</si>
  <si>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</si>
  <si>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</si>
  <si>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</si>
  <si>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</si>
  <si>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</si>
  <si>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</si>
  <si>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</si>
  <si>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</si>
  <si>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</si>
  <si>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</si>
  <si>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</si>
  <si>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</si>
  <si>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</si>
  <si>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</si>
  <si>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</si>
  <si>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</si>
  <si>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</si>
  <si>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</si>
  <si>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</si>
  <si>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</si>
  <si>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</si>
  <si>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</si>
  <si>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</si>
  <si>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</si>
  <si>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</si>
  <si>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</si>
  <si>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</si>
  <si>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</si>
  <si>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</si>
  <si>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</si>
  <si>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</si>
  <si>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</si>
  <si>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</si>
  <si>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</si>
  <si>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</si>
  <si>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</si>
  <si>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</si>
  <si>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</si>
  <si>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</si>
  <si>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</si>
  <si>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</si>
  <si>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</si>
  <si>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</si>
  <si>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</si>
  <si>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</si>
  <si>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</si>
  <si>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</si>
  <si>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</si>
  <si>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</si>
  <si>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</si>
  <si>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</si>
  <si>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</si>
  <si>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</si>
  <si>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</si>
  <si>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</si>
  <si>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</si>
  <si>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</si>
  <si>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</si>
  <si>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</si>
  <si>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</si>
  <si>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</si>
  <si>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</si>
  <si>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</si>
  <si>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</si>
  <si>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</si>
  <si>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</si>
  <si>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</si>
  <si>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</si>
  <si>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</si>
  <si>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</si>
  <si>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</si>
  <si>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</si>
  <si>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</si>
  <si>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</si>
  <si>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</si>
  <si>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</si>
  <si>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</si>
  <si>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</si>
  <si>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</si>
  <si>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</si>
  <si>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</si>
  <si>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</si>
  <si>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</si>
  <si>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</si>
  <si>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</si>
  <si>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</si>
  <si>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</si>
  <si>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</si>
  <si>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</si>
  <si>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</si>
  <si>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</si>
  <si>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</si>
  <si>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</si>
  <si>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</si>
  <si>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</si>
  <si>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</si>
  <si>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</si>
  <si>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</si>
  <si>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</si>
  <si>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</si>
  <si>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</si>
  <si>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</si>
  <si>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</si>
  <si>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</si>
  <si>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</si>
  <si>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</si>
  <si>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</si>
  <si>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</si>
  <si>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</si>
  <si>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</si>
  <si>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</si>
  <si>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</si>
  <si>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</si>
  <si>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</si>
  <si>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</si>
  <si>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</si>
  <si>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</si>
  <si>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</si>
  <si>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</si>
  <si>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</si>
  <si>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</si>
  <si>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</si>
  <si>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</si>
  <si>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</si>
  <si>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</si>
  <si>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</si>
  <si>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</si>
  <si>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</si>
  <si>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</si>
  <si>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</si>
  <si>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</si>
  <si>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</si>
  <si>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</si>
  <si>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</si>
  <si>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</si>
  <si>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</si>
  <si>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</si>
  <si>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</si>
  <si>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</si>
  <si>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</si>
  <si>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</si>
  <si>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</si>
  <si>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</si>
  <si>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</si>
  <si>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</si>
  <si>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</si>
  <si>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</si>
  <si>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</si>
  <si>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</si>
  <si>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</si>
  <si>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</si>
  <si>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</si>
  <si>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</si>
  <si>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</si>
  <si>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</si>
  <si>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</si>
  <si>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</si>
  <si>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</si>
  <si>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</si>
  <si>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</si>
  <si>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</si>
  <si>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</si>
  <si>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</si>
  <si>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</si>
  <si>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</si>
  <si>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</si>
  <si>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</si>
  <si>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</si>
  <si>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</si>
  <si>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</si>
  <si>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</si>
  <si>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</si>
  <si>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</si>
  <si>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</si>
  <si>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</si>
  <si>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</si>
  <si>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</si>
  <si>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</si>
  <si>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</si>
  <si>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</si>
  <si>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</si>
  <si>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</si>
  <si>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</si>
  <si>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</si>
  <si>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</si>
  <si>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</si>
  <si>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</si>
  <si>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</si>
  <si>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</si>
  <si>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</si>
  <si>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</si>
  <si>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</si>
  <si>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</si>
  <si>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</si>
  <si>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</si>
  <si>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</si>
  <si>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</si>
  <si>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</si>
  <si>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</si>
  <si>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</si>
  <si>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</si>
  <si>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</si>
  <si>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</si>
  <si>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</si>
  <si>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</si>
  <si>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</si>
  <si>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</si>
  <si>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</si>
  <si>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</si>
  <si>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</si>
  <si>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</si>
  <si>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</si>
  <si>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</si>
  <si>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</si>
  <si>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</si>
  <si>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</si>
  <si>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</si>
  <si>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</si>
  <si>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</si>
  <si>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</si>
  <si>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</si>
  <si>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</si>
  <si>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</si>
  <si>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</si>
  <si>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</si>
  <si>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</si>
  <si>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</si>
  <si>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</si>
  <si>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</si>
  <si>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</si>
  <si>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</si>
  <si>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</si>
  <si>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</si>
  <si>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</si>
  <si>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</si>
  <si>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</si>
  <si>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</si>
  <si>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</si>
  <si>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</si>
  <si>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</si>
  <si>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</si>
  <si>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</si>
  <si>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</si>
  <si>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</si>
  <si>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</si>
  <si>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</si>
  <si>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</si>
  <si>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</si>
  <si>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</si>
  <si>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</si>
  <si>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</si>
  <si>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</si>
  <si>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</si>
  <si>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</si>
  <si>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</si>
  <si>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</si>
  <si>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</si>
  <si>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</si>
  <si>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</si>
  <si>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</si>
  <si>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</si>
  <si>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</si>
  <si>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</si>
  <si>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</si>
  <si>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</si>
  <si>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</si>
  <si>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</si>
  <si>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</si>
  <si>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</si>
  <si>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</si>
  <si>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</si>
  <si>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</si>
  <si>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</si>
  <si>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</si>
  <si>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</si>
  <si>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</si>
  <si>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</si>
  <si>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</si>
  <si>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</si>
  <si>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</si>
  <si>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</si>
  <si>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</si>
  <si>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</si>
  <si>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</si>
  <si>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</si>
  <si>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</si>
  <si>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</si>
  <si>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</si>
  <si>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</si>
  <si>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</si>
  <si>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</si>
  <si>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</si>
  <si>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</si>
  <si>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</si>
  <si>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</si>
  <si>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</si>
  <si>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</si>
  <si>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</si>
  <si>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</si>
  <si>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</si>
  <si>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</si>
  <si>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</si>
  <si>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</si>
  <si>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</si>
  <si>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</si>
  <si>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</si>
  <si>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</si>
  <si>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</si>
  <si>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</si>
  <si>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</si>
  <si>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</si>
  <si>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</si>
  <si>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</si>
  <si>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</si>
  <si>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</si>
  <si>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</si>
  <si>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</si>
  <si>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</si>
  <si>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</si>
  <si>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</si>
  <si>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</si>
  <si>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</si>
  <si>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</si>
  <si>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</si>
  <si>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</si>
  <si>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</si>
  <si>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</si>
  <si>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</si>
  <si>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</si>
  <si>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</si>
  <si>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</si>
  <si>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</si>
  <si>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</si>
  <si>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</si>
  <si>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</si>
  <si>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</si>
  <si>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</si>
  <si>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</si>
  <si>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</si>
  <si>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</si>
  <si>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</si>
  <si>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</si>
  <si>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</si>
  <si>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</si>
  <si>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</si>
  <si>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</si>
  <si>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</si>
  <si>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</si>
  <si>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</si>
  <si>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</si>
  <si>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</si>
  <si>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</si>
  <si>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</si>
  <si>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</si>
  <si>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</si>
  <si>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</si>
  <si>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</si>
  <si>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</si>
  <si>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</si>
  <si>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</si>
  <si>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</si>
  <si>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</si>
  <si>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</si>
  <si>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</si>
  <si>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</si>
  <si>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</si>
  <si>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</si>
  <si>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</si>
  <si>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</si>
  <si>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</si>
  <si>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</si>
  <si>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</si>
  <si>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</si>
  <si>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</si>
  <si>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</si>
  <si>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</si>
  <si>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</si>
  <si>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</si>
  <si>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</si>
  <si>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</si>
  <si>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</si>
  <si>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</si>
  <si>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</si>
  <si>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</si>
  <si>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</si>
  <si>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</si>
  <si>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</si>
  <si>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</si>
  <si>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</si>
  <si>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</si>
  <si>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</si>
  <si>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</si>
  <si>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</si>
  <si>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</si>
  <si>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</si>
  <si>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</si>
  <si>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</si>
  <si>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</si>
  <si>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</si>
  <si>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</si>
  <si>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</si>
  <si>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</si>
  <si>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</si>
  <si>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</si>
  <si>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</si>
  <si>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</si>
  <si>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</si>
  <si>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</si>
  <si>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</si>
  <si>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</si>
  <si>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</si>
  <si>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</si>
  <si>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</si>
  <si>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</si>
  <si>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</si>
  <si>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</si>
  <si>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</si>
  <si>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</si>
  <si>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</si>
  <si>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</si>
  <si>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</si>
  <si>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</si>
  <si>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</si>
  <si>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</si>
  <si>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</si>
  <si>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</si>
  <si>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</si>
  <si>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</si>
  <si>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</si>
  <si>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</si>
  <si>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</si>
  <si>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</si>
  <si>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</si>
  <si>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</si>
  <si>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</si>
  <si>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</si>
  <si>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</si>
  <si>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</si>
  <si>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</si>
  <si>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</si>
  <si>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</si>
  <si>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</si>
  <si>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</si>
  <si>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</si>
  <si>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</si>
  <si>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</si>
  <si>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</si>
  <si>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</si>
  <si>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</si>
  <si>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</si>
  <si>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</si>
  <si>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</si>
  <si>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</si>
  <si>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</si>
  <si>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</si>
  <si>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</si>
  <si>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</si>
  <si>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</si>
  <si>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</si>
  <si>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</si>
  <si>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</si>
  <si>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</si>
  <si>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</si>
  <si>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</si>
  <si>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</si>
  <si>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</si>
  <si>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</si>
  <si>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</si>
  <si>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</si>
  <si>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</si>
  <si>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</si>
  <si>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</si>
  <si>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</si>
  <si>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</si>
  <si>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</si>
  <si>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</si>
  <si>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</si>
  <si>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</si>
  <si>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</si>
  <si>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</si>
  <si>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</si>
  <si>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</si>
  <si>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</si>
  <si>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</si>
  <si>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</si>
  <si>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</si>
  <si>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</si>
  <si>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</si>
  <si>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</si>
  <si>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</si>
  <si>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</si>
  <si>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</si>
  <si>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</si>
  <si>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</si>
  <si>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</si>
  <si>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</si>
  <si>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</si>
  <si>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</si>
  <si>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</si>
  <si>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</si>
  <si>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</si>
  <si>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</si>
  <si>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</si>
  <si>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</si>
  <si>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</si>
  <si>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</si>
  <si>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</si>
  <si>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</si>
  <si>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</si>
  <si>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</si>
  <si>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</si>
  <si>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</si>
  <si>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</si>
  <si>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</si>
  <si>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</si>
  <si>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</si>
  <si>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</si>
  <si>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</si>
  <si>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</si>
  <si>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</si>
  <si>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</si>
  <si>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</si>
  <si>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</si>
  <si>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</si>
  <si>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</si>
  <si>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</si>
  <si>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</si>
  <si>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</si>
  <si>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</si>
  <si>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</si>
  <si>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</si>
  <si>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</si>
  <si>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</si>
  <si>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</si>
  <si>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</si>
  <si>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</si>
  <si>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</si>
  <si>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</si>
  <si>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</si>
  <si>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</si>
  <si>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</si>
  <si>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</si>
  <si>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</si>
  <si>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</si>
  <si>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</si>
  <si>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</si>
  <si>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</si>
  <si>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</si>
  <si>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</si>
  <si>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</si>
  <si>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</si>
  <si>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</si>
  <si>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Quantity</t>
  </si>
  <si>
    <t>Count of TX ID</t>
  </si>
  <si>
    <t>Sum of Amount</t>
  </si>
  <si>
    <t>Average of Rating C</t>
  </si>
  <si>
    <t>Average of Days to Deliver</t>
  </si>
  <si>
    <t>Values for display</t>
  </si>
  <si>
    <t>Orders</t>
  </si>
  <si>
    <t>Avg.Rating</t>
  </si>
  <si>
    <t>Avg.Days</t>
  </si>
  <si>
    <t>Unknown</t>
  </si>
  <si>
    <t>Male</t>
  </si>
  <si>
    <t>Female</t>
  </si>
  <si>
    <t>Other</t>
  </si>
  <si>
    <t>Row Labels</t>
  </si>
  <si>
    <t>Grand Total</t>
  </si>
  <si>
    <t>Column Labels</t>
  </si>
  <si>
    <t>6 to 10</t>
  </si>
  <si>
    <t>More than 10</t>
  </si>
  <si>
    <t>For matrix</t>
  </si>
  <si>
    <t>Jan</t>
  </si>
  <si>
    <t>Feb</t>
  </si>
  <si>
    <t>Mar</t>
  </si>
  <si>
    <t>Last 13 weeks Trends - Qty&amp;Amt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</si>
</sst>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0"/>
    <numFmt numFmtId="165" formatCode="0.0%"/>
  </numFmts>
  <fonts count="5" x14ac:knownFonts="1">
    <font>
      <sz val="11"/>
      <color theme="1"/>
      <name val="Calibri"/>
      <family val="2"/>
      <scheme val="minor"/>
    </font>
    <font>
      <b/>
      <sz val="11"/>
      <color theme="1"/>
      <name val="Calibri"/>
      <family val="2"/>
      <scheme val="minor"/>
    </font>
    <font>
      <b/>
      <sz val="16"/>
      <color theme="6" tint="-0.249977111117893"/>
      <name val="Calibri"/>
      <family val="2"/>
      <scheme val="minor"/>
    </font>
    <font>
      <b/>
      <sz val="18"/>
      <color theme="6" tint="-0.249977111117893"/>
      <name val="Calibri"/>
      <family val="2"/>
      <scheme val="minor"/>
    </font>
    <font>
      <b/>
      <sz val="20"/>
      <color theme="6" tint="-0.249977111117893"/>
      <name val="Calibri"/>
      <family val="2"/>
      <scheme val="minor"/>
    </font>
  </fonts>
  <fills count="4">
    <fill>
      <patternFill patternType="none"/>
    </fill>
    <fill>
      <patternFill patternType="gray125"/>
    </fill>
    <fill>
      <patternFill patternType="solid">
        <fgColor theme="9"/>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15" fontId="0" fillId="0" borderId="0" xfId="0" applyNumberFormat="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2" fillId="0" borderId="0" xfId="0" applyFont="1"/>
    <xf numFmtId="0" fontId="3" fillId="0" borderId="0" xfId="0" applyFont="1"/>
    <xf numFmtId="0" fontId="4" fillId="0" borderId="0" xfId="0" applyFont="1"/>
    <xf numFmtId="0" fontId="1" fillId="3" borderId="0" xfId="0" applyFont="1" applyFill="1"/>
  </cellXfs>
  <cellStyles count="1">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fill>
        <patternFill>
          <bgColor rgb="FFFFCDC9"/>
        </patternFill>
      </fill>
    </dxf>
  </dxfs>
  <tableStyles count="1" defaultTableStyle="TableStyleMedium2" defaultPivotStyle="PivotStyleLight16">
    <tableStyle name="Slicer Style 1" pivot="0" table="0" count="1" xr9:uid="{E06B7A50-AA05-4FD8-831F-38CF6E1525FF}">
      <tableStyleElement type="wholeTable" dxfId="5"/>
    </tableStyle>
  </tableStyles>
  <colors>
    <mruColors>
      <color rgb="FFF9F8BA"/>
      <color rgb="FFBF3939"/>
      <color rgb="FFFFE7E7"/>
      <color rgb="FF600020"/>
      <color rgb="FFFFD9D9"/>
      <color rgb="FF800000"/>
      <color rgb="FFFFCDC9"/>
      <color rgb="FFFFFFFF"/>
      <color rgb="FFFFCCCC"/>
      <color rgb="FFFF99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[SalesDashboard.xlsx]Trends!chart1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weeks trends - Qty&amp;Amt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Trends!$C$10</c:f>
              <c:strCache>
                <c:ptCount val="1"/>
                <c:pt idx="0">
                  <c:v>Sum of Amount</c:v>
                </c:pt>
              </c:strCache>
            </c:strRef>
          </c:tx>
          <c:spPr>
            <a:ln w="28575" cap="rnd">
              <a:solidFill>
                <a:schemeClr val="accent2"/>
              </a:solidFill>
              <a:round/>
            </a:ln>
            <a:effectLst/>
          </c:spPr>
          <c:marker>
            <c:symbol val="none"/>
          </c:marker>
          <c:cat>
            <c:strRef>
              <c:f>Trends!$A$11:$A$24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Trends!$C$11:$C$24</c:f>
              <c:numCache>
                <c:formatCode>[$$-C09]#,##0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CF2-4868-A933-8047F42621C9}"/>
            </c:ext>
          </c:extLst>
        </c:ser>
        <c:dLbls>
          <c:showLegendKey val="0"/>
          <c:showVal val="0"/>
          <c:showCatName val="0"/>
          <c:showSerName val="0"/>
          <c:showPercent val="0"/>
          <c:showBubbleSize val="0"/>
        </c:dLbls>
        <c:marker val="1"/>
        <c:smooth val="0"/>
        <c:axId val="211050255"/>
        <c:axId val="613453199"/>
      </c:lineChart>
      <c:lineChart>
        <c:grouping val="standard"/>
        <c:varyColors val="0"/>
        <c:ser>
          <c:idx val="0"/>
          <c:order val="0"/>
          <c:tx>
            <c:strRef>
              <c:f>Trends!$B$10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Trends!$B$11:$B$24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8CF2-4868-A933-8047F42621C9}"/>
            </c:ext>
          </c:extLst>
        </c:ser>
        <c:dLbls>
          <c:showLegendKey val="0"/>
          <c:showVal val="0"/>
          <c:showCatName val="0"/>
          <c:showSerName val="0"/>
          <c:showPercent val="0"/>
          <c:showBubbleSize val="0"/>
        </c:dLbls>
        <c:marker val="1"/>
        <c:smooth val="0"/>
        <c:axId val="643751327"/>
        <c:axId val="209918415"/>
      </c:lineChart>
      <c:catAx>
        <c:axId val="2110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53199"/>
        <c:crosses val="autoZero"/>
        <c:auto val="1"/>
        <c:lblAlgn val="ctr"/>
        <c:lblOffset val="100"/>
        <c:noMultiLvlLbl val="0"/>
      </c:catAx>
      <c:valAx>
        <c:axId val="61345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50255"/>
        <c:crosses val="autoZero"/>
        <c:crossBetween val="between"/>
        <c:majorUnit val="20000"/>
      </c:valAx>
      <c:valAx>
        <c:axId val="209918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51327"/>
        <c:crosses val="max"/>
        <c:crossBetween val="between"/>
        <c:majorUnit val="500"/>
      </c:valAx>
      <c:catAx>
        <c:axId val="643751327"/>
        <c:scaling>
          <c:orientation val="minMax"/>
        </c:scaling>
        <c:delete val="1"/>
        <c:axPos val="b"/>
        <c:numFmt formatCode="General" sourceLinked="1"/>
        <c:majorTickMark val="out"/>
        <c:minorTickMark val="none"/>
        <c:tickLblPos val="nextTo"/>
        <c:crossAx val="209918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[SalesDashboard.xlsx]graph3!chart3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lumMod val="95000"/>
              </a:schemeClr>
            </a:solidFill>
          </a:ln>
          <a:effectLst/>
        </c:spPr>
      </c:pivotFmt>
    </c:pivotFmts>
    <c:plotArea>
      <c:layout>
        <c:manualLayout>
          <c:layoutTarget val="inner"/>
          <c:xMode val="edge"/>
          <c:yMode val="edge"/>
          <c:x val="7.9880417480565638E-2"/>
          <c:y val="0.21102413071370718"/>
          <c:w val="0.88932002874918981"/>
          <c:h val="0.59448941302119551"/>
        </c:manualLayout>
      </c:layout>
      <c:barChart>
        <c:barDir val="col"/>
        <c:grouping val="clustered"/>
        <c:varyColors val="0"/>
        <c:ser>
          <c:idx val="0"/>
          <c:order val="0"/>
          <c:tx>
            <c:strRef>
              <c:f>graph3!$B$3</c:f>
              <c:strCache>
                <c:ptCount val="1"/>
                <c:pt idx="0">
                  <c:v>Total</c:v>
                </c:pt>
              </c:strCache>
            </c:strRef>
          </c:tx>
          <c:spPr>
            <a:solidFill>
              <a:schemeClr val="accent1"/>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graph3!$A$4:$A$11</c:f>
              <c:strCache>
                <c:ptCount val="7"/>
                <c:pt idx="0">
                  <c:v>1</c:v>
                </c:pt>
                <c:pt idx="1">
                  <c:v>2</c:v>
                </c:pt>
                <c:pt idx="2">
                  <c:v>3</c:v>
                </c:pt>
                <c:pt idx="3">
                  <c:v>4</c:v>
                </c:pt>
                <c:pt idx="4">
                  <c:v>5</c:v>
                </c:pt>
                <c:pt idx="5">
                  <c:v>6 to 10</c:v>
                </c:pt>
                <c:pt idx="6">
                  <c:v>More than 10</c:v>
                </c:pt>
              </c:strCache>
            </c:strRef>
          </c:cat>
          <c:val>
            <c:numRef>
              <c:f>graph3!$B$4:$B$11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134-4E1F-AE4F-1F804337B0EA}"/>
            </c:ext>
          </c:extLst>
        </c:ser>
        <c:dLbls>
          <c:dLblPos val="outEnd"/>
          <c:showLegendKey val="0"/>
          <c:showVal val="1"/>
          <c:showCatName val="0"/>
          <c:showSerName val="0"/>
          <c:showPercent val="0"/>
          <c:showBubbleSize val="0"/>
        </c:dLbls>
        <c:gapWidth val="0"/>
        <c:overlap val="-27"/>
        <c:axId val="321907583"/>
        <c:axId val="653020399"/>
      </c:barChart>
      <c:catAx>
        <c:axId val="3219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20399"/>
        <c:crosses val="autoZero"/>
        <c:auto val="1"/>
        <c:lblAlgn val="ctr"/>
        <c:lblOffset val="100"/>
        <c:noMultiLvlLbl val="0"/>
      </c:catAx>
      <c:valAx>
        <c:axId val="65302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90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[SalesDashboard.xlsx]productbyquantity!chart4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Which</a:t>
            </a:r>
            <a:r>
              <a:rPr lang="en-IN" b="1" baseline="0"/>
              <a:t> product are popular? Breakdown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productbyquantity!$B$3:$B$4</c:f>
              <c:strCache>
                <c:ptCount val="1"/>
                <c:pt idx="0">
                  <c:v>Female</c:v>
                </c:pt>
              </c:strCache>
            </c:strRef>
          </c:tx>
          <c:spPr>
            <a:solidFill>
              <a:schemeClr val="accent1"/>
            </a:solidFill>
            <a:ln>
              <a:noFill/>
            </a:ln>
            <a:effectLst/>
          </c:spPr>
          <c:invertIfNegative val="0"/>
          <c:cat>
            <c:strRef>
              <c:f>productbyquantity!$A$5:$A$25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productbyquantity!$B$5:$B$25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B7A-4825-9C4D-7DE864049981}"/>
            </c:ext>
          </c:extLst>
        </c:ser>
        <c:ser>
          <c:idx val="1"/>
          <c:order val="1"/>
          <c:tx>
            <c:strRef>
              <c:f>productbyquantity!$C$3:$C$4</c:f>
              <c:strCache>
                <c:ptCount val="1"/>
                <c:pt idx="0">
                  <c:v>Male</c:v>
                </c:pt>
              </c:strCache>
            </c:strRef>
          </c:tx>
          <c:spPr>
            <a:solidFill>
              <a:schemeClr val="accent2"/>
            </a:solidFill>
            <a:ln>
              <a:noFill/>
            </a:ln>
            <a:effectLst/>
          </c:spPr>
          <c:invertIfNegative val="0"/>
          <c:cat>
            <c:strRef>
              <c:f>productbyquantity!$A$5:$A$25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productbyquantity!$C$5:$C$25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2B7A-4825-9C4D-7DE864049981}"/>
            </c:ext>
          </c:extLst>
        </c:ser>
        <c:ser>
          <c:idx val="2"/>
          <c:order val="2"/>
          <c:tx>
            <c:strRef>
              <c:f>productbyquantity!$D$3:$D$4</c:f>
              <c:strCache>
                <c:ptCount val="1"/>
                <c:pt idx="0">
                  <c:v>Other</c:v>
                </c:pt>
              </c:strCache>
            </c:strRef>
          </c:tx>
          <c:spPr>
            <a:solidFill>
              <a:schemeClr val="accent3"/>
            </a:solidFill>
            <a:ln>
              <a:noFill/>
            </a:ln>
            <a:effectLst/>
          </c:spPr>
          <c:invertIfNegative val="0"/>
          <c:cat>
            <c:strRef>
              <c:f>productbyquantity!$A$5:$A$25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productbyquantity!$D$5:$D$25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9E41-480A-96E9-CAEB5B9F3345}"/>
            </c:ext>
          </c:extLst>
        </c:ser>
        <c:ser>
          <c:idx val="3"/>
          <c:order val="3"/>
          <c:tx>
            <c:strRef>
              <c:f>productbyquantity!$E$3:$E$4</c:f>
              <c:strCache>
                <c:ptCount val="1"/>
                <c:pt idx="0">
                  <c:v>Unknown</c:v>
                </c:pt>
              </c:strCache>
            </c:strRef>
          </c:tx>
          <c:spPr>
            <a:solidFill>
              <a:schemeClr val="accent4"/>
            </a:solidFill>
            <a:ln>
              <a:noFill/>
            </a:ln>
            <a:effectLst/>
          </c:spPr>
          <c:invertIfNegative val="0"/>
          <c:cat>
            <c:strRef>
              <c:f>productbyquantity!$A$5:$A$25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productbyquantity!$E$5:$E$25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9E41-480A-96E9-CAEB5B9F3345}"/>
            </c:ext>
          </c:extLst>
        </c:ser>
        <c:dLbls>
          <c:showLegendKey val="0"/>
          <c:showVal val="0"/>
          <c:showCatName val="0"/>
          <c:showSerName val="0"/>
          <c:showPercent val="0"/>
          <c:showBubbleSize val="0"/>
        </c:dLbls>
        <c:gapWidth val="10"/>
        <c:overlap val="100"/>
        <c:axId val="211071135"/>
        <c:axId val="613431599"/>
      </c:barChart>
      <c:catAx>
        <c:axId val="21107113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31599"/>
        <c:crosses val="autoZero"/>
        <c:auto val="1"/>
        <c:lblAlgn val="ctr"/>
        <c:lblOffset val="100"/>
        <c:noMultiLvlLbl val="0"/>
      </c:catAx>
      <c:valAx>
        <c:axId val="61343159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[SalesDashboard.xlsx]Sheet1!piechart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0387497555907869E-2"/>
              <c:y val="0.325580395795962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1F2A771-3CF1-426C-94CF-B09BC5AEDB1D}" type="CATEGORYNAME">
                  <a:rPr lang="en-US"/>
                  <a:pPr>
                    <a:defRPr/>
                  </a:pPr>
                  <a:t>[CATEGORY NAME]</a:t>
                </a:fld>
                <a:endParaRPr lang="en-US" baseline="0"/>
              </a:p>
              <a:p>
                <a:pPr>
                  <a:defRPr/>
                </a:pPr>
                <a:fld id="{404F692C-0380-4CB7-B2F5-D71E1348B846}"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18213845693568562"/>
                  <c:h val="0.22998286983143251"/>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5050110759580645"/>
              <c:y val="0.1602602874222721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9BB608-F93D-4C73-B039-BD87389D3362}" type="CATEGORYNAME">
                  <a:rPr lang="en-US"/>
                  <a:pPr>
                    <a:defRPr/>
                  </a:pPr>
                  <a:t>[CATEGORY NAME]</a:t>
                </a:fld>
                <a:endParaRPr lang="en-US" baseline="0"/>
              </a:p>
              <a:p>
                <a:pPr>
                  <a:defRPr/>
                </a:pPr>
                <a:r>
                  <a:rPr lang="en-US" baseline="0"/>
                  <a:t> </a:t>
                </a:r>
                <a:fld id="{2B647F48-E7FF-45BB-AAEB-760016BA43E1}"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25357465651180744"/>
              <c:y val="-5.970961567938621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38379D-B105-4825-A149-DED4C028C0ED}" type="CATEGORYNAME">
                  <a:rPr lang="en-US"/>
                  <a:pPr>
                    <a:defRPr/>
                  </a:pPr>
                  <a:t>[CATEGORY NAME]</a:t>
                </a:fld>
                <a:endParaRPr lang="en-US" baseline="0"/>
              </a:p>
              <a:p>
                <a:pPr>
                  <a:defRPr/>
                </a:pPr>
                <a:fld id="{F5D2B45D-F94D-415F-8301-27F23295DCCE}"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29296458755896243"/>
              <c:y val="-3.855711989460907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B2C9949-8DFF-42ED-90A3-25038CA9F2EC}" type="CATEGORYNAME">
                  <a:rPr lang="en-US"/>
                  <a:pPr>
                    <a:defRPr/>
                  </a:pPr>
                  <a:t>[CATEGORY NAME]</a:t>
                </a:fld>
                <a:endParaRPr lang="en-US" baseline="0"/>
              </a:p>
              <a:p>
                <a:pPr>
                  <a:defRPr/>
                </a:pPr>
                <a:fld id="{44B1AB7A-37F6-43A0-BDD1-71D91D3EAB79}"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9614661882920723"/>
                  <c:h val="0.19700159909191461"/>
                </c:manualLayout>
              </c15:layout>
              <c15:dlblFieldTable/>
              <c15:showDataLabelsRange val="0"/>
            </c:ext>
          </c:extLst>
        </c:dLbl>
      </c:pivotFmt>
    </c:pivotFmts>
    <c:plotArea>
      <c:layout>
        <c:manualLayout>
          <c:layoutTarget val="inner"/>
          <c:xMode val="edge"/>
          <c:yMode val="edge"/>
          <c:x val="0.20413691054104008"/>
          <c:y val="0.13213365354037132"/>
          <c:w val="0.59172617891791979"/>
          <c:h val="0.72180587996622469"/>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FE-4DA6-A571-BAC580D39C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FE-4DA6-A571-BAC580D39C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FE-4DA6-A571-BAC580D39C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FE-4DA6-A571-BAC580D39CF3}"/>
              </c:ext>
            </c:extLst>
          </c:dPt>
          <c:dLbls>
            <c:dLbl>
              <c:idx val="0"/>
              <c:layout>
                <c:manualLayout>
                  <c:x val="7.0387497555907869E-2"/>
                  <c:y val="0.325580395795962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1F2A771-3CF1-426C-94CF-B09BC5AEDB1D}" type="CATEGORYNAME">
                      <a:rPr lang="en-US"/>
                      <a:pPr>
                        <a:defRPr/>
                      </a:pPr>
                      <a:t>[CATEGORY NAME]</a:t>
                    </a:fld>
                    <a:endParaRPr lang="en-US" baseline="0"/>
                  </a:p>
                  <a:p>
                    <a:pPr>
                      <a:defRPr/>
                    </a:pPr>
                    <a:fld id="{404F692C-0380-4CB7-B2F5-D71E1348B846}"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18213845693568562"/>
                      <c:h val="0.22998286983143251"/>
                    </c:manualLayout>
                  </c15:layout>
                  <c15:dlblFieldTable/>
                  <c15:showDataLabelsRange val="0"/>
                </c:ext>
                <c:ext xmlns:c16="http://schemas.microsoft.com/office/drawing/2014/chart" uri="{C3380CC4-5D6E-409C-BE32-E72D297353CC}">
                  <c16:uniqueId val="{00000001-E1FE-4DA6-A571-BAC580D39CF3}"/>
                </c:ext>
              </c:extLst>
            </c:dLbl>
            <c:dLbl>
              <c:idx val="1"/>
              <c:layout>
                <c:manualLayout>
                  <c:x val="-0.15050110759580645"/>
                  <c:y val="0.16026028742227211"/>
                </c:manualLayout>
              </c:layout>
              <c:tx>
                <c:rich>
                  <a:bodyPr/>
                  <a:lstStyle/>
                  <a:p>
                    <a:fld id="{719BB608-F93D-4C73-B039-BD87389D3362}" type="CATEGORYNAME">
                      <a:rPr lang="en-US"/>
                      <a:pPr/>
                      <a:t>[CATEGORY NAME]</a:t>
                    </a:fld>
                    <a:endParaRPr lang="en-US" baseline="0"/>
                  </a:p>
                  <a:p>
                    <a:r>
                      <a:rPr lang="en-US" baseline="0"/>
                      <a:t> </a:t>
                    </a:r>
                    <a:fld id="{2B647F48-E7FF-45BB-AAEB-760016BA43E1}" type="VALUE">
                      <a:rPr lang="en-US" baseline="0"/>
                      <a:pPr/>
                      <a:t>[VALUE]</a:t>
                    </a:fld>
                    <a:endParaRPr lang="en-US" baseline="0"/>
                  </a:p>
                </c:rich>
              </c:tx>
              <c:showLegendKey val="1"/>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1FE-4DA6-A571-BAC580D39CF3}"/>
                </c:ext>
              </c:extLst>
            </c:dLbl>
            <c:dLbl>
              <c:idx val="2"/>
              <c:layout>
                <c:manualLayout>
                  <c:x val="-0.25357465651180744"/>
                  <c:y val="-5.9709615679386215E-2"/>
                </c:manualLayout>
              </c:layout>
              <c:tx>
                <c:rich>
                  <a:bodyPr/>
                  <a:lstStyle/>
                  <a:p>
                    <a:fld id="{7038379D-B105-4825-A149-DED4C028C0ED}" type="CATEGORYNAME">
                      <a:rPr lang="en-US"/>
                      <a:pPr/>
                      <a:t>[CATEGORY NAME]</a:t>
                    </a:fld>
                    <a:endParaRPr lang="en-US" baseline="0"/>
                  </a:p>
                  <a:p>
                    <a:fld id="{F5D2B45D-F94D-415F-8301-27F23295DCCE}" type="VALUE">
                      <a:rPr lang="en-US" baseline="0"/>
                      <a:pPr/>
                      <a:t>[VALUE]</a:t>
                    </a:fld>
                    <a:endParaRPr lang="en-IN"/>
                  </a:p>
                </c:rich>
              </c:tx>
              <c:showLegendKey val="1"/>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1FE-4DA6-A571-BAC580D39CF3}"/>
                </c:ext>
              </c:extLst>
            </c:dLbl>
            <c:dLbl>
              <c:idx val="3"/>
              <c:layout>
                <c:manualLayout>
                  <c:x val="0.29296458755896243"/>
                  <c:y val="-3.855711989460907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B2C9949-8DFF-42ED-90A3-25038CA9F2EC}" type="CATEGORYNAME">
                      <a:rPr lang="en-US"/>
                      <a:pPr>
                        <a:defRPr/>
                      </a:pPr>
                      <a:t>[CATEGORY NAME]</a:t>
                    </a:fld>
                    <a:endParaRPr lang="en-US" baseline="0"/>
                  </a:p>
                  <a:p>
                    <a:pPr>
                      <a:defRPr/>
                    </a:pPr>
                    <a:fld id="{44B1AB7A-37F6-43A0-BDD1-71D91D3EAB79}"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9614661882920723"/>
                      <c:h val="0.19700159909191461"/>
                    </c:manualLayout>
                  </c15:layout>
                  <c15:dlblFieldTable/>
                  <c15:showDataLabelsRange val="0"/>
                </c:ext>
                <c:ext xmlns:c16="http://schemas.microsoft.com/office/drawing/2014/chart" uri="{C3380CC4-5D6E-409C-BE32-E72D297353CC}">
                  <c16:uniqueId val="{00000007-E1FE-4DA6-A571-BAC580D39C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Female</c:v>
                </c:pt>
                <c:pt idx="1">
                  <c:v>Male</c:v>
                </c:pt>
                <c:pt idx="2">
                  <c:v>Other</c:v>
                </c:pt>
                <c:pt idx="3">
                  <c:v>Unknown</c:v>
                </c:pt>
              </c:strCache>
            </c:strRef>
          </c:cat>
          <c:val>
            <c:numRef>
              <c:f>Sheet1!$B$4:$B$8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1FE-4DA6-A571-BAC580D39CF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[SalesDashboard.xlsx]Sheet5!chart6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layout>
        <c:manualLayout>
          <c:xMode val="edge"/>
          <c:yMode val="edge"/>
          <c:x val="0.26151094702455546"/>
          <c:y val="3.2735431980970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lumMod val="95000"/>
              </a:schemeClr>
            </a:solid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solidFill>
                <a:schemeClr val="bg1">
                  <a:lumMod val="95000"/>
                </a:schemeClr>
              </a:solidFill>
            </a:ln>
            <a:effectLst/>
          </c:spPr>
          <c:invertIfNegative val="0"/>
          <c:dPt>
            <c:idx val="1"/>
            <c:invertIfNegative val="0"/>
            <c:bubble3D val="0"/>
            <c:spPr>
              <a:solidFill>
                <a:schemeClr val="accent1"/>
              </a:solidFill>
              <a:ln>
                <a:solidFill>
                  <a:schemeClr val="bg1">
                    <a:lumMod val="95000"/>
                  </a:schemeClr>
                </a:solidFill>
              </a:ln>
              <a:effectLst/>
            </c:spPr>
            <c:extLst>
              <c:ext xmlns:c16="http://schemas.microsoft.com/office/drawing/2014/chart" uri="{C3380CC4-5D6E-409C-BE32-E72D297353CC}">
                <c16:uniqueId val="{00000001-D782-413B-BA42-D6E70A79CDA7}"/>
              </c:ext>
            </c:extLst>
          </c:dPt>
          <c:cat>
            <c:strRef>
              <c:f>Sheet5!$A$4:$A$19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782-413B-BA42-D6E70A79CDA7}"/>
            </c:ext>
          </c:extLst>
        </c:ser>
        <c:dLbls>
          <c:showLegendKey val="0"/>
          <c:showVal val="0"/>
          <c:showCatName val="0"/>
          <c:showSerName val="0"/>
          <c:showPercent val="0"/>
          <c:showBubbleSize val="0"/>
        </c:dLbls>
        <c:gapWidth val="0"/>
        <c:overlap val="-27"/>
        <c:axId val="618771376"/>
        <c:axId val="955639824"/>
      </c:barChart>
      <c:catAx>
        <c:axId val="6187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39824"/>
        <c:crosses val="autoZero"/>
        <c:auto val="1"/>
        <c:lblAlgn val="ctr"/>
        <c:lblOffset val="100"/>
        <c:noMultiLvlLbl val="0"/>
      </c:catAx>
      <c:valAx>
        <c:axId val="95563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[SalesDashboard.xlsx]Sheet7!chart7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1</c:v>
                </c:pt>
              </c:strCache>
            </c:strRef>
          </c:tx>
          <c:spPr>
            <a:solidFill>
              <a:schemeClr val="accent1"/>
            </a:solidFill>
            <a:ln>
              <a:noFill/>
            </a:ln>
            <a:effectLst/>
          </c:spPr>
          <c:invertIfNegative val="0"/>
          <c:cat>
            <c:strRef>
              <c:f>Sheet7!$A$5:$A$8</c:f>
              <c:strCache>
                <c:ptCount val="3"/>
                <c:pt idx="0">
                  <c:v>Jan</c:v>
                </c:pt>
                <c:pt idx="1">
                  <c:v>Feb</c:v>
                </c:pt>
                <c:pt idx="2">
                  <c:v>Mar</c:v>
                </c:pt>
              </c:strCache>
            </c:strRef>
          </c:cat>
          <c:val>
            <c:numRef>
              <c:f>Sheet7!$B$5:$B$8</c:f>
              <c:numCache>
                <c:formatCode>General</c:formatCode>
                <c:ptCount val="3"/>
                <c:pt idx="0">
                  <c:v>7</c:v>
                </c:pt>
                <c:pt idx="1">
                  <c:v>8</c:v>
                </c:pt>
                <c:pt idx="2">
                  <c:v>6</c:v>
                </c:pt>
              </c:numCache>
            </c:numRef>
          </c:val>
          <c:extLst>
            <c:ext xmlns:c16="http://schemas.microsoft.com/office/drawing/2014/chart" uri="{C3380CC4-5D6E-409C-BE32-E72D297353CC}">
              <c16:uniqueId val="{00000000-40FD-4B74-BD73-E16D2D763023}"/>
            </c:ext>
          </c:extLst>
        </c:ser>
        <c:ser>
          <c:idx val="1"/>
          <c:order val="1"/>
          <c:tx>
            <c:strRef>
              <c:f>Sheet7!$C$3:$C$4</c:f>
              <c:strCache>
                <c:ptCount val="1"/>
                <c:pt idx="0">
                  <c:v>2</c:v>
                </c:pt>
              </c:strCache>
            </c:strRef>
          </c:tx>
          <c:spPr>
            <a:solidFill>
              <a:schemeClr val="accent2"/>
            </a:solidFill>
            <a:ln>
              <a:noFill/>
            </a:ln>
            <a:effectLst/>
          </c:spPr>
          <c:invertIfNegative val="0"/>
          <c:cat>
            <c:strRef>
              <c:f>Sheet7!$A$5:$A$8</c:f>
              <c:strCache>
                <c:ptCount val="3"/>
                <c:pt idx="0">
                  <c:v>Jan</c:v>
                </c:pt>
                <c:pt idx="1">
                  <c:v>Feb</c:v>
                </c:pt>
                <c:pt idx="2">
                  <c:v>Mar</c:v>
                </c:pt>
              </c:strCache>
            </c:strRef>
          </c:cat>
          <c:val>
            <c:numRef>
              <c:f>Sheet7!$C$5:$C$8</c:f>
              <c:numCache>
                <c:formatCode>General</c:formatCode>
                <c:ptCount val="3"/>
                <c:pt idx="0">
                  <c:v>37</c:v>
                </c:pt>
                <c:pt idx="1">
                  <c:v>51</c:v>
                </c:pt>
                <c:pt idx="2">
                  <c:v>39</c:v>
                </c:pt>
              </c:numCache>
            </c:numRef>
          </c:val>
          <c:extLst>
            <c:ext xmlns:c16="http://schemas.microsoft.com/office/drawing/2014/chart" uri="{C3380CC4-5D6E-409C-BE32-E72D297353CC}">
              <c16:uniqueId val="{00000001-40FD-4B74-BD73-E16D2D763023}"/>
            </c:ext>
          </c:extLst>
        </c:ser>
        <c:ser>
          <c:idx val="2"/>
          <c:order val="2"/>
          <c:tx>
            <c:strRef>
              <c:f>Sheet7!$D$3:$D$4</c:f>
              <c:strCache>
                <c:ptCount val="1"/>
                <c:pt idx="0">
                  <c:v>3</c:v>
                </c:pt>
              </c:strCache>
            </c:strRef>
          </c:tx>
          <c:spPr>
            <a:solidFill>
              <a:schemeClr val="accent3"/>
            </a:solidFill>
            <a:ln>
              <a:noFill/>
            </a:ln>
            <a:effectLst/>
          </c:spPr>
          <c:invertIfNegative val="0"/>
          <c:cat>
            <c:strRef>
              <c:f>Sheet7!$A$5:$A$8</c:f>
              <c:strCache>
                <c:ptCount val="3"/>
                <c:pt idx="0">
                  <c:v>Jan</c:v>
                </c:pt>
                <c:pt idx="1">
                  <c:v>Feb</c:v>
                </c:pt>
                <c:pt idx="2">
                  <c:v>Mar</c:v>
                </c:pt>
              </c:strCache>
            </c:strRef>
          </c:cat>
          <c:val>
            <c:numRef>
              <c:f>Sheet7!$D$5:$D$8</c:f>
              <c:numCache>
                <c:formatCode>General</c:formatCode>
                <c:ptCount val="3"/>
                <c:pt idx="0">
                  <c:v>150</c:v>
                </c:pt>
                <c:pt idx="1">
                  <c:v>182</c:v>
                </c:pt>
                <c:pt idx="2">
                  <c:v>163</c:v>
                </c:pt>
              </c:numCache>
            </c:numRef>
          </c:val>
          <c:extLst>
            <c:ext xmlns:c16="http://schemas.microsoft.com/office/drawing/2014/chart" uri="{C3380CC4-5D6E-409C-BE32-E72D297353CC}">
              <c16:uniqueId val="{00000002-40FD-4B74-BD73-E16D2D763023}"/>
            </c:ext>
          </c:extLst>
        </c:ser>
        <c:ser>
          <c:idx val="3"/>
          <c:order val="3"/>
          <c:tx>
            <c:strRef>
              <c:f>Sheet7!$E$3:$E$4</c:f>
              <c:strCache>
                <c:ptCount val="1"/>
                <c:pt idx="0">
                  <c:v>4</c:v>
                </c:pt>
              </c:strCache>
            </c:strRef>
          </c:tx>
          <c:spPr>
            <a:solidFill>
              <a:schemeClr val="accent4"/>
            </a:solidFill>
            <a:ln>
              <a:noFill/>
            </a:ln>
            <a:effectLst/>
          </c:spPr>
          <c:invertIfNegative val="0"/>
          <c:cat>
            <c:strRef>
              <c:f>Sheet7!$A$5:$A$8</c:f>
              <c:strCache>
                <c:ptCount val="3"/>
                <c:pt idx="0">
                  <c:v>Jan</c:v>
                </c:pt>
                <c:pt idx="1">
                  <c:v>Feb</c:v>
                </c:pt>
                <c:pt idx="2">
                  <c:v>Mar</c:v>
                </c:pt>
              </c:strCache>
            </c:strRef>
          </c:cat>
          <c:val>
            <c:numRef>
              <c:f>Sheet7!$E$5:$E$8</c:f>
              <c:numCache>
                <c:formatCode>General</c:formatCode>
                <c:ptCount val="3"/>
                <c:pt idx="0">
                  <c:v>312</c:v>
                </c:pt>
                <c:pt idx="1">
                  <c:v>373</c:v>
                </c:pt>
                <c:pt idx="2">
                  <c:v>351</c:v>
                </c:pt>
              </c:numCache>
            </c:numRef>
          </c:val>
          <c:extLst>
            <c:ext xmlns:c16="http://schemas.microsoft.com/office/drawing/2014/chart" uri="{C3380CC4-5D6E-409C-BE32-E72D297353CC}">
              <c16:uniqueId val="{00000003-40FD-4B74-BD73-E16D2D763023}"/>
            </c:ext>
          </c:extLst>
        </c:ser>
        <c:ser>
          <c:idx val="4"/>
          <c:order val="4"/>
          <c:tx>
            <c:strRef>
              <c:f>Sheet7!$F$3:$F$4</c:f>
              <c:strCache>
                <c:ptCount val="1"/>
                <c:pt idx="0">
                  <c:v>5</c:v>
                </c:pt>
              </c:strCache>
            </c:strRef>
          </c:tx>
          <c:spPr>
            <a:solidFill>
              <a:schemeClr val="accent5"/>
            </a:solidFill>
            <a:ln>
              <a:noFill/>
            </a:ln>
            <a:effectLst/>
          </c:spPr>
          <c:invertIfNegative val="0"/>
          <c:cat>
            <c:strRef>
              <c:f>Sheet7!$A$5:$A$8</c:f>
              <c:strCache>
                <c:ptCount val="3"/>
                <c:pt idx="0">
                  <c:v>Jan</c:v>
                </c:pt>
                <c:pt idx="1">
                  <c:v>Feb</c:v>
                </c:pt>
                <c:pt idx="2">
                  <c:v>Mar</c:v>
                </c:pt>
              </c:strCache>
            </c:strRef>
          </c:cat>
          <c:val>
            <c:numRef>
              <c:f>Sheet7!$F$5:$F$8</c:f>
              <c:numCache>
                <c:formatCode>General</c:formatCode>
                <c:ptCount val="3"/>
                <c:pt idx="0">
                  <c:v>224</c:v>
                </c:pt>
                <c:pt idx="1">
                  <c:v>247</c:v>
                </c:pt>
                <c:pt idx="2">
                  <c:v>250</c:v>
                </c:pt>
              </c:numCache>
            </c:numRef>
          </c:val>
          <c:extLst>
            <c:ext xmlns:c16="http://schemas.microsoft.com/office/drawing/2014/chart" uri="{C3380CC4-5D6E-409C-BE32-E72D297353CC}">
              <c16:uniqueId val="{00000004-40FD-4B74-BD73-E16D2D763023}"/>
            </c:ext>
          </c:extLst>
        </c:ser>
        <c:dLbls>
          <c:showLegendKey val="0"/>
          <c:showVal val="0"/>
          <c:showCatName val="0"/>
          <c:showSerName val="0"/>
          <c:showPercent val="0"/>
          <c:showBubbleSize val="0"/>
        </c:dLbls>
        <c:gapWidth val="219"/>
        <c:overlap val="-27"/>
        <c:axId val="1219706112"/>
        <c:axId val="1170755184"/>
      </c:barChart>
      <c:catAx>
        <c:axId val="121970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55184"/>
        <c:crosses val="autoZero"/>
        <c:auto val="1"/>
        <c:lblAlgn val="ctr"/>
        <c:lblOffset val="100"/>
        <c:noMultiLvlLbl val="0"/>
      </c:catAx>
      <c:valAx>
        <c:axId val="117075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0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b="1" i="0" baseline="0"/>
          </a:pPr>
          <a:r>
            <a:rPr lang="en-US" sz="1400" b="1" i="0" u="none" strike="noStrike" baseline="0">
              <a:solidFill>
                <a:sysClr val="windowText" lastClr="000000">
                  <a:lumMod val="65000"/>
                  <a:lumOff val="35000"/>
                </a:sysClr>
              </a:solidFill>
              <a:latin typeface="Calibri" panose="020F0502020204030204"/>
            </a:rPr>
            <a:t>Where do our customer live?</a:t>
          </a:r>
        </a:p>
      </cx:txPr>
      <cx:extLst>
        <cx:ext uri="ext:featex">
          <cx:featureExtension feature="mp" drop="onModelChange">
            <cx:offset top="0.011416229419410229" left="-0.04566163569688797"/>
          </cx:featureExtension>
        </cx:ext>
      </cx:extLst>
    </cx:title>
    <cx:plotArea>
      <cx:plotAreaRegion>
        <cx:plotSurface>
          <cx:spPr>
            <a:noFill/>
            <a:ln>
              <a:noFill/>
            </a:ln>
          </cx:spPr>
        </cx:plotSurface>
        <cx:series layoutId="regionMap" uniqueId="{00000000-57EE-4A36-AAFC-66FE3EF2B1BA}">
          <cx:tx>
            <cx:txData>
              <cx:f>_xlchart.v5.2</cx:f>
              <cx:v>Sum of Amount</cx:v>
            </cx:txData>
          </cx:tx>
          <cx:spPr>
            <a:ln>
              <a:solidFill>
                <a:schemeClr val="accent1">
                  <a:shade val="15000"/>
                </a:schemeClr>
              </a:solidFill>
            </a:ln>
          </cx:spPr>
          <cx:dataId val="0"/>
          <cx:layoutPr>
            <cx:geography cultureLanguage="en-US" cultureRegion="IN" attribution="Powered by Bing">
              <cx:geoCache provider="{E9337A44-BEBE-4D9F-B70C-5C5E7DAFC167}">
                <cx:binary>3H1pc9u40u5fSeXzpQcLSRBvvXOqhqQky2scO9t8YSm2QoILuABcf/1t2U6ORck5dNWo7j3SzNRU
IjXU4gM0up9uNP73vvuf+3S9qt51WSrV/9x3f76PtC7+548/1H20zlbqJBP3Va7yH/rkPs/+yH/8
EPfrPx6qVStk+AdB2PzjPlpVet29/9f/wmjhOr/I71da5PKmXlf9x7WqU61+897et96tHjIhfaF0
Je41/vO9t0rFj7ySYvV++z3y5/vbPF3J/J2X11L379+tpRa6v+uL9Z/vt4Yh79/9Mf62Hc3epaC8
rh9AmDonxMKmwxhFjy/8/l2ay/D5bQMTcoJM7ljItH9+7dUqA8npGj3qs3p4qNZKwQ97/P+O/Nav
gGfx1398BvebZ7F5+iEA8ef7T1Lo9cO7W73Sa/X+nVD548Oqei/f/NBPt49P5o9t/P71v6O/gGc1
+psXEI8f7H96axvF/4DwXyk81ofVASBmJw4yHeLYlD++2C7EhBGT2TB5nibWE8Jv0Gg/xOMBJmA8
FjkykN1a6/UBIOYnFibURJb5BLEzhhifWJZpY0xgfb/EeLJC+xHeFp+A77bAkaH7GZ5sXR1iCZsn
xEEORZTtxxfzE8IpRjYC5F/i+waV9iM8HmACxmORI0P5r7QQ8hCL2DmxObVs/NoiBpAZvCyLmdsg
T9doP8Yj+QkQjySODOG7dbTKDrCMTXSCmW0ji+CnZczHZpqcgBXHYKjJT2fs5WKertd+nEfyE3Ae
SRwZzl6e1uoAOFOwxogTCkv5yakGx2rHqQZzbnPT2l7J0zXaj/BIfgLCI4kjQ/ivbPWQVwdwuJwT
Cg4zIg6Y4m1oERhpApsx4vuW8HSF9gM8kp8A8EjiyACGmHnVrKuVOgjGmNsEE8ZeWcXoxHY263wc
Gr9Jqf047w4xAepdoSND+zI/GAdiMcd2nnflcYC88a6J43CGYMN+uSFP1Wc/xlvSE+Dd+vyRIevl
wOVstmKlD7EhOycIA7r0tfgJWC5MTcdieBQ/vVWv/UjvHWUC4nvljgx5f52+u8qBXf3nLbiJT5hl
wna8wX7zGi9sAnE1MikwXyPq601K7cd8d4gJgO8KHRnad5UAnrY/ANbgd1HCLGbZr2BNTjgQZBi8
8m0j/gaV9iM9HmACzmORI0N5lr7z8wpc738eZ0hYMMJtizyT2XwnhoaJwDmkNCx7nwP+JtX24707
xATEd4WODPOrVXGYnZtwSE4Acf3khNNxvAWUibNZ2M7IhE/VZz/GW9IT4N36/JEhO4fE3UH8bhtM
NrYtC79Ch20IT8eCf/CIJpmu0X50R/IT8B1JHBnCi3Qt5QFsNaSlCGy5nEDueJslAX+bO5hRa7Rq
J2uyH9ht8Qm4bgscGayndfY9Tx/0P48sMNkQL2PT3EXWPME2pgjyzU9+2Laz9RaV9kO8M8IElHdk
jgzob/X3Q+y9/ASbGMwzEB+Prx0aG7LKDrMd04Zd+SUvMlWf/QhvSU9Ad+vzR4bsMivWlVil//wS
pgT8ZOJYJqSNH19jzwpbJxZszhakrB7fH4VNb9FsP847I0zAekfm2PCW/SGCJhtKgAjsxey5PmQc
NGEH9mNu244z4r+WE/V5BeGX0lPQffn5I0P2fF0dwsWyTih7LPx5WqQIVumWpwU+9Ib6xMCNbNvo
qfrsR3ZLegKyW58/MmRvN0Vdh0gywv5LCYEM1HN8tKeqy95Ub5p8XJs5WaP96I5+0QR8RxJHhvA5
FAIfIsNon8CyBHbDtJ585R2zzE9seA8mwHjxTlVoP77bv2cCvNsCR4buxSo5QPIBikAgtYAhZ/hc
Wb3jPQMhjS1sgwe9bZmn6rMf2y3pCdBuff7IkL1dyXe+WIeHcKnAfcaQbQAXerzjMoiAqYMd+ryq
t9F9k077Id4dYgLOu0JHBvbFSqn1AVws4DogCjYd/lSTh9A4UCJQBwJvm449stLTNdqP80h+Asgj
iWNDOFfv/pLhOl0fYjM2T6Awk1Dn52a8s67hqIxJoewLbPrmNYqHL96m3CuI7xlkCux7xI4M+8vV
A5R5HYAGsU+gyAt4aPZcqzkOoGB1IxtqQ0w8Lv6ZrNF+rEe/aALMI4mjQxhqAw4AMDvhzISdGj1n
jMfrGmp/LIrBeHN45yWLebmaqNBr+L4UnwTvS4EjRLfID1JtzU5gdcL6dZ436PEKBgqE2yZzCPji
j69dmKdq9jrSWyNMBHtL5tjwXsuH/F4cJG+8yUsAkIw9M9djwAmFsi5mU7op+Npa0W9R6hWsd4aY
AvaO0NGhXd3D4VvvHz+ezE4osrn9qzZ3x3iDc+5Aggozc59TdrmeqtdraG/JT4J6S+LIcN4Eke4a
KvgOEVFDksICOhOcsf1sGMEnJiII0s4jwuRtWu1Hes8YE9DeI3VkiF/mYMb/+YUNpbkmRxy4zedy
zZ0KEXRimQSOQuJRbnmyQvtx3hafAPG2wJGhexutDlJwD5wJnFIFFoy+VjpAToAiQ46zKSB5uUVP
12g/viP5CQCPJI4MYTg0Asmp9QEqrql9YjN70zjkGeMdXgyf2JYNs2DcWOItOu1HeWeECTjvyBwZ
0lfrZnWQ/iFw+skmDLoPPDMke3BGGI6y7qQhp2u0H+WR/ASMRxJHhvB1tQL285/fjCmFUiComHfs
V9qHYGghY8GJVntMek7XaD/CI/kJCI8kjgzhD+nq/iClBM4JHF/cYPx0Knk3h4FPoDgISsHIL9/7
5a48Xa/9OI/kJ+A8kjg6nGtoPHaAlQxUF7UZnI55LhkBAmSrHAjYbEhUgd9NRyX1H9KpGr2G8Jb8
JIS3JI4MYehDJoVKV/UhUGaQcERQPG+/VloAqxltklVsRGm/Tav9SO8ZYwLae6SODPGPAhoRKPFw
mA2aO8ii9LnIb7fKD3gyaFMAdUKjJNWblNqP9+4QE+DeFToytG9X9xU07JMHYcIciJ6hF5QJ3SUe
XztWfMOebP6Bys89qei36bYf9T1jTIB9j9TR4b5hQCu5qh4Ok9yA8zPQGgiqh55t+zjaAl+cwHlH
8OZGxMkjNfsWxV4Dfu8PnAT+XskjnABzCMTuhbrPf0LwT3RiZXCkCiEGJfi/XPBt142cmNCM1nLo
HuR/aTTFp3wd+N1hJuK+K3iEsJ/lq7I+VI0CVCiYBAB+fI0XPaQ+CIc6Yc6fOJhR7dEmDfEG5V7H
fzzIRPTHYv8F2P9exa3fvWnc+9dvVvpbWy6DAYderDbHz7H4OH0N9Qo2ZoTB4bsnS/Dzu5/a8kKX
p19top9i9D3W56lT9U7T5ZeyW7/x6Sf+/qH817VU3iyLi1qod9ffhSoOkbK0oPkAsYH8BMu9eY2h
3JSGgs8OfXf32Ow3qvb6qt030B50t/5q01P8lcdzhLPgEpqCHwL/x9IjxoBNecVRh+4UxIFqFXOP
xZ6s1OvIbw+xBfArPdQB822hI0P7rk5X1SFCcDirQ9GmL+vrVptwcN6wBZv3S+50ukb7cR7JTwB5
JHFkCIPZgh5x7qr6vjpIQbC5cbM35aDPuy9Y7i0/fLM9cwfa9EL/1sfXNtxvVm8/6vuHmQD+fsGj
nAMeLPXVlIDnjXdiAJkGZf5wbus5EtspOsMnm4UOGc8Rif707Cer9TvktweZjPu22HGiXtXDAUCH
cwAMWm+jnwVJO6DDRSjQBBTs/7hi5dEeeRO1+i3mL8eYDvlLqWNDXKyrgyxx6ExkIwpNap4I1N18
KDqBN2EbgJtvnh37l3v67WS9XsF7W34K1tsSR4ezSkSf1//8ut70AKVAmpGft9+Mt3M4/mFDJs2C
Qz6jjVxM1+k1lEcjTMJ5JHNsSEML50PcrQB9IU3KbegV+Fo12uOBXduEsyIjnCdr9ArK2/JTMN6W
ODKE72q4ViE7yA0pcJTLgeQH8KCPRnkf3QI2HWOHjNbyW3Taj/LOCBNw3pE5MqS/5ekhSBW4B4dB
oyLo6TmKvIAFhzcYhgZz20t4qiL7od2SngDr1uf/X0D6+g11v67681d6NXu8JPDFJXW/f/fx4cDd
hiPRZy5jD8f8q3Xj8uHP93AUi8IRS1h3v+4f3Ay0xYRAePR8euQnfNuSayhG//M93DkI1ePQ4hdi
MAILnXJAu10/vwU1xSacAoFiB+hXhTjYcgnNwyO4yRAceCgnJ1AEASaeMpg8Kq+f34GLHDj8lY1B
SWzZv+5x/JCnfZjLXw/m+c/vZJ19yIXUCsZlkH0vnj63UddC0PPB2pSuW1Bhg4m1OWRW3K8+blqy
wHP4P6ruLatJHOOKWVnspfmyEUHrytSWrsQ6nyesPzWUSb04ym6Qw7jXiKpw2zL50vY699NYL4cK
Z34R17GHbDt3SdsHflk6LVwXqb63Wfc5j7u/C1Re9jVdDtCD76LI0mpm5q0bFPRTyKtFhrPYD3X6
sSNx6Vklvbex8BpmKy+g6IYjo3dbJ7DcKq6+oI796Ey7m8dtcZuR+BPDGZ4NyVC6tcGGWcbLr2Zd
1L7AhZ8lRjuPw6Lwy9yYyzKpXWxUizYxUtcMaOOqOjuLBtYK3wry0B1aKzb8oDP/LtLG6G/itnGa
edrhNqMudPzP7+oyRkXnYmyGPi+Im+ctnxe4it1G9dmMoJp5ZU9njSVbNzHiD3Xca5fL1MtyJ/Vq
FD9oxtYBXFXpBsKxXKqv0uYTUTlzg77lXstr4Rp9fss6nLg4I3/HqTLcjldk1ne48VTenNuBUmcl
kt9LEsWVL9MoRzOrb3Do2plJbsokTFwZMctv++QORc0sYXXvqi5BfofMr9LMP2eC5dfF0OUXSIre
MxifScavaVgsZZpfKawWWRXNU87OOiv4yjjChZvQfpnb8byWJlriOsncCH73jOqOeIGdpy5KB+qB
Pl+cUIuzRrBwVsDjcx0cGF7Q0uw6cNBd6qTNPCuYcLnNzs1M6MTVbSk+J8og6axKbdue4da5HEh/
g9SQuMhWpR+nuTOrCnQbNv1NUFbSHSp6XYZ8bnTktFT2jRWzZZAOi6SpTyM0KL/R4Z12suuONwvS
kd5NUOOZGSDfFm4UW/XSzOIvFsvvWB4t2tb5nBlD6PJKnXZ1eFfI4aJqxW2V1V+Fxqe4cyo3TqPC
s0urcgdBF13TWnMEabB5x/oLW+boHCCP3bqO13Fnuk0Fuhl9aM0oba1TmwRuN7AFHay/SZXNAokC
V9fp5RAGHzOrLJa9pcMLapi3om6/S0PNMnVX1Rh7vOQ3YRT7hWpcWQxnlY0/Ix63fpzHCyWqU9HH
2s0pvYSA4O+sDsXCYPa80D1zaVn4UREKDxv2ADO0XfEA5zOUtf5gD1ctaq4j5HwhpD3PleHnuPOh
5eJ3WiDbR0F8O4TRdYvNL2XVXkQW/pyWCM8Q6eelTGJPJMZVgPgizuRVLbTjRlx+bwIzm9E2uOBh
37q0Sc/TFD6G+Xmra+22VbZ0wvqi0fIcPjnMuo7SM5Zb2k2cNiVzDO33PXswZPYxgmoC4hp2+C0W
ZCatuHYrC/0YDHWaiOab4u285c2sd0AF6vytHXmZ1abh5b32Ka49relpFRZfe8Yil2R96LamfeGQ
+qODy9THXZt6VUW/irpatqryUqMJ3Nwxb2gcLuHgyA2RXHj90FxaTRt5nSUXgaycJa+K0yhhC+Ek
X2KSXIRIfWKyQG4ao486Mn1SpJeRLM8TVH9JMvO2EoBFVjT3ZgZLDVWXoiHXXZrVy7DHtRuL5jQl
5XnJyUeYJGd5ncIKq/S1CtC8YVEDs6r5mpHSHyIznTcKwT7QnhscnxsUFW7ZGkuzN09RZc51VS6z
oT1tG8vnQ3LRcb3Q6XCjm0S7LCsvKa3OuwKmrJOVbqbSTwGSfyetuDZLa6krc63M4izK7SWm0edG
iVvLUXeQ+k9dyw7mjRUtWeN8T1CxxFk9uEOWLwNSXfRansmBwArD7WWUJ+dikH93Kb3laUhd0mcu
zkvkxTZamI2Yy6K4trL8XDDnx8uLb7c2vPu86CsRRs93F//647/u8gz+fbwJ999/ubn6+N9/Wqzz
TTpajT+08U1+ferft+lufIFfV+uOPIyn+5NfcT9+++brvslLB8OC5Nzv3JKXSfEnkudxn3+U+umS
YCjL2rSGQXBViAUtyWHAXy4JJAw2R2OgJNeBpP4m0/fskphAGeLNvUJok8mHW0iAU/zpk2yaTsCA
UPLjwCE5aND4Fp8Ew3eMXBK4MhBaidlwGotCGQk4Py9dEj3QvCjruruSLeWzpg2iAixazBIvYW1z
YxtWfxZ3jUxmCCX6m87N5lNiqq50FZfllxdP73kCvfSQNs3pxtpAgRr4aHAoGy4e3njrL7UxZV8k
PKqbK1JKfBUmgwzcmuU2mIBG59xtWrP+xprCEG6VObr0yrhKQjcYFDM9OMcgH7jW6BrGiGqfpCn+
NFiGgxe9bQVr3Bu4m/9eYwJu447GcJgNejxxiyFoJDHSWLAIsO31Fe2sMPTtbkg/NXAtNp1r1ueW
24APEfuCBY4Lzlgv3D5BdJE1VY/9qsn1Q9QphT1hFJav4OLwxtVZhBqXVVYSzsI8jj4kNT/LFI+U
DwQG/6wiMG9pa3UzoQz7UlRRky1+/6t2YYATHQia/ML9NtCR7PFHv/BTWW+ErVGk6krqgH/OQwcT
10wITI1C1t2Htqv4bRHg9Ovvv3Yz1166x3AWH65RYhQuRgPfndCNWi++1kJdaBYqlFfSGfAVTqL6
SsLmIJwg+vz7b4Lls/NNHE6EM2i9BT0AnNE8K6TZD2UV5VdOgcxV2eZVugi00xM3KaIZKut08Cjq
ndyLqdVm/2nSbCbF9g+FiQJddU24AA5ano+/HjY4EYUyE1esTKxVFtfWKkk3OlhDpmZ2ledujwD6
RZuWLXHLJGdrnXK1bHlvXnQ2rZBH2zhPvJjJ7BOtCkL9yOn7dWE0hY+MIWOexXOzOrWoPdTu75/e
5hKFsf5sYzYgjwm3f0PEvQ0UsmtLWlZgXOI6yFai0ioEPz/R0nRp38vwrI1E8j10eHHRDWU0t3Oz
Ex7BDfuh2TDkXh+FzDPzuFmLirKHxioidvZ7JU1rB2RqUphEm1wr1FFYDCLMl9PJrhyBqkjTy9gs
i4A7vubRsOh0R/lcN3XtVV2Jbpqst2o3iiLmVVguFKmKRWoWxEvSMvtYpFbWuSxtwy9tDBtur7R2
C/AaP9kqcfyglIFX53EsXKFpDCFWrORVWxjqujQGOgtDzGPXGAKZeaSJslPLhrCLxOGHsJe0c9Oa
lVc6KO80yQzq2w2BByl6ArbBrIfBRa0TX6SR5XwLUG2eRbaDL4awayBsQZGZwRWdvVgaTgWbfNs7
g49by/CHuLsvVKlva2SA+9Vmms0DVYLnHRByV0a4TRYBM7BwhygJvkM2s2pcIUvj7zpjEFsWiiyT
XIKbUfL0QTSFDeueZsmt4EHH3KY0w7MqqGqvh+ewwCbh1yUEnjOzrco5xhAzzVK4Ly30mjZ0Sq8h
UQAuNa38uuDXUWCEyMc416ew1ZDWkyi2XUez9GuXoeicVLy4tai2FjWPDTJXdjasHDuvZgp18TCH
8DmE6KNDK6LS9oeCWNPyBqJR7cqQNOG803EOi6NtZ33Y1M68yoPITzXNTsHzsSD+MascHnTWMDdW
cWx4LGiZC25wN7imTgOPavCAF5WdzEKz7tFNS7EJwXWFUjeGmaTnVLdcLTrKugs7GYY0uKnbUmeZ
24u0l9VDFESEDN9Ua3QsiyC0AVOe34MjFmtaubWu6wJd6URnSXfGRTksGl7rYJlVQhRuTNL8FjGD
LuOe0tqrAYPA7UvEO4ArcxxfBgHshzpN2nJmJ22IvCrVOLiOSmSz/DTpWRv5fZdyfWErTWFGtUGO
VevVsBfObSOKg+sGlo4deqVTODDhaKKyuUxFxd20hM0rmHWNsD0jgEIHy+3BTTXh+r0gy7yI120w
b1OWZjMVgFcwt2SYDZ4zWGAxJUnM2suiCqJ9iFJD9UEJI8tmeSicH0bdMIF8lBO9EKZTO1eWEYTB
maRMMyv2ZKfKoT9VkG2polkRRgxiNdUM5RxiQynmfWpn/SlSKis8i/Sp8Fhn9emiEqUwPICVfDGK
bMA+nIVJMh/+Q8Y1hAWGgkcu5Zc4y3i2pBXX6SyJtP1xqDWl89jICT6P2kgx6bKIRHoRVE0hb2Ez
pmdxOJBkXhegwSzXaTjMHNwN3HPivmgvM6eHqW3AUqn8AOP6rKKWlfphQMPaZ7IBOAVT4J/IIabD
Ok0gDeE7oEDm0z6LyiVGwjwNBUtsjyRJSX2Ri8Af6iCxXKOtCv4hDtrY9Kgo4wHCmHgwzlGQmnNc
BKEF6nJWzHAfDfkyErgNZwk3o9bdfM7FXHAJ0yekpde1whhc3Qnj7woaqfeGK2AdkSs8SDEI12lM
g971aUvqK7vgfe5LXupLq5awJYWKJSDAMwpPKxARlt8GnMrorOyztJur1hrEOdahvjNjYq2sLsgC
YB9g8gJp0TE6U/YgQPkax5mf0jJRntMGM4FF+S1tW/As4jBubpVlt9+LKqKnDWvDYOYkFiKudAIY
x0qB05rLqsFXQ1dQ80ZpC99hbcAnWttQjqdxz7pZQ7JYnEL4T9qlZKEi1wJYls8SlZvJGcelWrBU
RepD15va8VDZAjZRK0GxXIHRPYcdjH+mDoLZnYGVrHxoINTlS614QD7EVZ0kH4kjubnszLitL3Wn
N85n1HcfrMSwu1neZvDVeT4MjduRTA8LlLDNj9+o3oJ9Ar2KDF+ZloRfUZcWPKooyZPB40kDS6dI
w0TcyIrBkq9q8ApCeA9sKtEyui6x2QMDQ4sIAdxt1dWXmREVyhWoLrt5B80W6KxvSrIxGrCYPPhF
YEA6jjd+spbZ5wCuRjtzGiEc14msBOZFH9qrVlJQo6vi/iPQSkidh+Dmxud5AUTDrQO7xUJJhK9K
HpbfgF+1SzcyI0HOcifk9XkQ5WHj9xUrW3Bwe7ooCDxWD7Gyv0/SxPrQ1QrlpyXqGyAx7SxUp1lg
ZD/6gW9siCjTyIc4wKEzQfpIzQs7418MFGTzrC3C0mUmmLm+aqOPItfqnGdJbPkWqUgIZg+ucHSb
iPDPVWw04SwlEpbJYASUL02Z43KdgUHuz+A6IVgb7cZiz2LLgCfaNUMDJJrVlue4qontBTzVDey0
tEHgepfx3xVv+J3Rg5t+NnBd4QetZK/cDGPWLEVLYKguw9HgmW1oh8sCYGk9I+H2fMibRl92PUtv
40aVrsPUqZl1jXU6tDaAkyCshkWRJnl+Ke3OvDA0MvNZVMqsOQfmpog8x1JZdAeeiHpAXIIZAdMJ
HFQSqVa5HDjSEnaBvrxNwxKLrzgfqNO4A3hg/adCU4PDYCqoZhEzkvDMCIr2exQio/FSpuxkKYBZ
vOmUEQyLqi6VmImhhkkqiI7phy5JB+sqs4s0dcuiQfaliSOz83rwbtSsjQpArXWkCN1qYBnYDqXS
Ge5oV/lNSpxqMTglzP7E7ELm90GPgFMulF1+aa0e38VRBXMNdjr+GeZ6pj5ILjEYWFLweO5kkd26
Xf2NOHXrYDdJGvbJIrJs/dYKtXlpBqnTfCwDxSvY3GFGzwpBAU0IHPruQlCd5BesKiL6gXQotZdB
l3P4XV1nhJdJZRStnwGvQ1zwxmp9maYB6F/xJJyryEkiv+0QWvalCeu+t23gSs0gYpePXulzXuXD
k5P/lBR4yWW8pDamcCSX4r7KVf5Dj0mSrYH+P2dSdrI8mx4RL5z4nSzPXynwQg+rlwzMJjn0JPaT
T9n08tp0dXNgS3/O1vziU6A1EANqBJJJBG0SLL/4FAr5X2D4ISNjbiq14O6Df/MpUIkNV9lAL3Xo
9AgHI+FC15+E0hackN96/vMWg7FLYcAdktD1BGwKuBzQwn0UWjpdWPLaierrWOjizEm5eVnJ7tyR
KaRa6uqznWV+GevkVOYsHdZRrkrjpu578PEG4YF7kd7wqJCuTvobHZpnucryeZkq4eKhB14gwcZC
pI3pmkU0D5MmWoLzibywCEzg2FUYebwp5TxjRVrf9mHxjUd9DlQuA38BPIDYK4gyz5rOGM6sQnZR
4PVOL87qNPF7Ehin2qh+hFwOQEmgYNHjHIIjnPBlWofN5wISaedE2MmlQyX4/uK2qGlUzJysR5CV
cYTfVAbyWcOln9OB+mkqiEtsDuYCeOiEVXpWhtizNNFzqyuuHAs41obmfN6kQ+cagQaXIpLtadWq
K6wU97Qsv1VteNHjdhah3ieKXCIzPG8HHbk6LmpXgCl0Y8fx2lrVMwkIu2Fg6Bl8WfgjaHP7736I
m2BeWmXkQkwE7mqk8Cmv6o9RQm+dGMl6WdiRoW8EluUpRDWeLCP7tLR6JW9tjXjlRnXAGpeywFxQ
3DaxawXWjySo2+WmOmlRyyTxh0x+6GN1ZQOPCymZqxKRc0cb81y1Z0Zm+/kApqaULooHzxLFQyvJ
R6H5t4OYmP8242HBnQi/Mx5PzbjGtuNJ6oXtgPYW4E0AFQvnYG37BRdLoVkzZFShcxwwj1DB98t2
QB0YBv7WgiY3YFqAuAE1nrlYaFYGSRlgQYC0QmCVIHX8BtsBfXFGvIplmkAlAg0GKWzom8TBgr5k
LODEEKJFWqYfUMpghpm1crHZfobMbLjQpXENrl/lqkFcJinp3Kp3TktY4TNgyyDx1jnrvBaX0MHj
zkwg/ylx6fg95YWrwgGSK/TUSeu5rSEY7/BpCz54lhmJ2xoQjVD8TVnas0UbubSLZsDvriIWX/a6
XrM4mrWczrQRxm6Pi8uyM++B0l6EPRcuVcBCGSKrT+OiOq04P1dxOMuJNR9IPDMglnOx1VzYJP8E
fPJVSyLgDSpTLKKBrNIKzeHcxFcgPK05CwLwgMusX1Q4DT1uOZFr2urM6nQzd4LiXBPjlNMYorf4
Nmh04UH+qp01RXcjITvsKqeYg4OJTjNQ7pwyQrzBaQffkFi6RsauOU0fiIiKRU+sxBVhQiHvG9xV
af4jLerOR7I1XKniS3Becl+EJJnJpki9qGAWBJt577LemSVGfxZZWvphm37SVmWcZaX0aye/iaqo
hIiFn+HGCF1m6UsuN3xLvSC6uxEQfc3qAVLrfdYu0OD8wEbXugaRN10kMxd6r3yLY/yxV4XhlkHO
vDqlmdfb9G7IxLdEln6bQlYcUl+QXRTiAjIH53GJfig12Kfx0EHyS9T9LFI2hPQBvYEKhy9RDPqH
vZ24Q5gPnl2Yp7Wdb2hcagInU6/zOFkaKvXbsHJNAZtMr7HtIQHfgzoFsT+Xbi6jr0Gffewq8ANz
B/amgdaLMGSJW0rdu7rnkPeOQS6lmvs4S8xFltfXee58sXAAuKvaTTCkDFBWfMO1uNCxuAAfEKir
EDsecGLCN4kcXA5RmAdEmHZjXSwCml/JiF+UwmLL1FDSDZW4QnH+rYxLAXsiZMNrUfmdKT27BUXb
BhLXOG1OS4w+EKK8Arjb0wQH51VYL5UsPtVGs8iVhDRZPoeaBu46mVBeqBo+M+22cu00Qr6Dmq9D
KdaqIZ4Rd4tWFL0fyzJ1pZ1fAyv8xerZh7xstZfw5tZJ0rlGZ+VwpZvLwACmAvFl2MlrbMkPpAlO
U2u4Nmqb+00POXGgoiCpWAFrGA0+GarUtWPwtY1MBB6QM4FbchseOQwqM6vwHJtkHmQ9bD9DzY8o
6RK/yyibkWKzVBP1vYttv82dHyzu6mVulLEX1JwvsLT+L3tn0h25rSXhX8Q+IEhwWDaHHDVPpaoN
jlRSgSBIgCTA8dd3ZLntV++53ed4b3vlQVIqK4l7b8QXF8fK71mxwesdYAMG6NV1uuw9bxElWwKe
m7iad6kHqwL6cSaWyp0MV/WuncKPkblwN1bqwwTTa7+N38Fs1KWxsEdFMN+tY93ltYymfHWRK3Ec
TQG6G02HMxWNO+PsAT2QdDG6777HHN+6I9NtHe2CsYvY80RUkuyrcPD3Y7h2eJbg92RLvAxQWEax
+GWivXDJ+gnXLhywx3ftMogrm7yBNreOjylpffc4p4MXnMdlNOeZoeC+DltIp1vluoMRzs+7em1K
E6pwJyUTWU+2N38QDxYgSu4gvoWhHneDNyz7xIvOLF5ApSRhmI1N9L03xmbKYdpt6/AV032SVxPK
vk+26BQYfJiVTlSG/51kKzPf0H69AQ2hhUvqNsNU8gNq85QHAEWyUEPEJ2RS2eAGjFJquV47WywS
Q4/qvOtQD/ceH89tYr5NcobNHuTzstZwdBeSiY41uQ2WU7UeGZnbDKLPm1TmIbrAQ46yqsTN9XHm
3PxIaH2D8ejKq9evTUV/bD7BdxHoVKYWOogs0PXRdamLkA0lF8ODWnD0kIpky1IsAAYw8BDVkAKy
x9sstmMF0zpfvCXKe9jKGT6MN1GstiJiqSiJ590jEEWLOWZbISFIbGQ9p5CAcrwL3SHWaHasIW4f
hBPO9rAr4lTG5TaseJa49+TQMzHxhQ4AbpKw5kXlqbpIVDrjhw9jlqr0EGypn29LkxTBLEU+J4u5
bZduLmMzX3WJo1mSTCITfnwrZ309NnGbLx2/xdyc2dYexOjeonReSzqpx7Xx+nJrRVPyFAUEXMMz
H0dbjLP+AmTxVHsKr3HcXiG7Vjs8dSE+A5vJoEV5+WDcp03TZxzQO9I1V6qtXEZFcAhq89xPgD9k
vOSTIMd+Du6mpHtImXmXKHQZLga5CYk7hwzP3aRDvuebP+SMDEfhTSgJbhYZgLEacpA6pmxNskno
vE5ov7dMzrkM7a2S4x06kZ2m7mVq/UOn+ioPR4oP4BgupSLtVOJGv75IFY/3nsB/jacaYrea9trz
/H1Eq+To8IbmtmpuSWdriBPuNGo9ZH2UnmK7PDfgacrVoAjiyNp5chN7b/bPjU6jfJ1j9PF40s7C
p3eRjwbcs12fOU3a40abIJs497M16DmMqeAYhvKuGusXjxho9jrRGQ45HHBsPmwtunRczX5Hh2mD
zBZAsTXLd23El4D1t1bH37cw+L5EGCts9GqUeDWiiwoXyCNvu1dikkMQDo9zQs8BRPyArhCdmot/
ML+JttmPMf1M1XYSo7zf/LjPUkcedXg5xD22w1lf5f+03Ri+GXjp/6/t/u+mk/rzz2335at+b7uR
ewSmEiDPflkG+rOB/mNkxx0pMbgIxn4DHaAP/E5lJlhIh7+wvAqtN/gENMO/IxAJbr9Dn4w7tHAz
Bwb6v4dA/MkoRMaDwuwO4J7hdfqXpbO/tt1iQG0DxtTcen7/VUgHJXNs3v2VHRu/1VkNgMsOYwlo
MyNTvNsCcZWu/c2ctFB/5xbYj+zRiggcEfFId4KRHTHB4wzWqExiM+JMWK+I40XkofeSvnuRCe3y
xm+AdvVNPnnDoVH2rY0WkY1++MEpupLOa0Uu2HJekulDjX6fJwrzL8SPMlonlvmr3koyek0xtOxC
j40uj8d0zMOVRLkzet1ps95RMKcFijLqJAsyyGavASzQAmrmhyHRCe44YM1Fd5mYrMpaIEOsgmMM
NPEOJ++XiYPOqxOpYJF6c9bEDv8Y1TLfBJqGthU8i/kxEG63xgbPNvREMKnLy1aJaxfrc4fGvcLv
lJlVDhme+odZqmISoi2Vptfcp098bRzG/7HNgOKCf7ATLFblJVkYBoc2WGXOk+5LglY7j8gqRpGz
qZfi0dG6+wYR/2XdwvnsEnvbBc7uG3+GU9cP3xYBpVarfdvNURaOzGThDClkDDjNKp5cV4K+BL1F
OybnWw/riEulRvRkbBPllkIkF0Pq7T0zPgRe9cEabgCyihwUpjqb6M0tb/BKdmEXvdk1MPtxIPtm
tALA5Nyal9Sv9GNDmk59SrF9zEv1sAUEqsTYAT1VQ5Ukb4OPco3P95HgCD0sjppbOvD0Nmy5Pa0p
z8MUgsYcRwc3oB1AnZZ5FabrTVBv0CelwSQBq/XLrOcilm11HSzmE/IrPeDETftsiJJqy/455347
56AJ/jWBnmMb9s88oXV/EihxRuJrfz/tIFACQPdxh4jv4xbWC9zxx2mHRUy4EQ5wE25MjkGW/3ra
gTCngIhwFIEJu6xf/P20w3onPwGKRiMG4iLGbVJ/Q2QAZ/KfIkN8AV5w8QW4JPx9oc5+Pe3SNt5S
PbHptpkkrPl86A05AbkOQRGCZAAo2D6vtaBZvHhXiQZZUjPwuzPmjEp7JPNd/bQId1bJ8jiR5Wrl
fp11VZRmUO1hv8gNrrZ7mdv1Jm6DI5NRFuDZyfrLA7osp6gbo3zBqSm3ZgYHaeFPC8DZMYaTIQh+
BCCZ8/mnTibVmkPip+WgvD7bEowkdZ3kYQO3P7XV1zXiVWabcC1Tt7YFGbqnMBpHPOwezcFP5UG3
EbQtLgtFP+WD5l+a1C8cjdZ8sLZAZ/UejSqred8WuM78e1/HAOEj+RrBQcvAfR2DJYGdJuMMPvFr
JMJ9EnfbBazeVcngQf5oDzQC8TmhIbELtN01nAbYq8v7avh765ZbYiALMLBzkoBpbUO1V2o5JgCA
duBgB1BgnskS0X0IErJi8fVrZ1idBdUUFHx0nxGn241V65vsGD+PTAJUYRSYqohKNFX+A7XxUITA
HHJ5McSMXdL9PKuzz/rpa5JOA044JCF2wG3yLYxlGfLY7Jo1IHkD6qFMKvT/IkWbO1Jtr1eSLIUC
obZLjOwK3nhr7vBpzgarqtKTQDFWInmpiZVnSUyzT9LZPVI2bS/zNlWFIbAvlW3I9Rq1KJezUl/N
MNGTjOPodbJt+2AHv7+rIiqPiT8sV33KA0zHaMBhL6Lv98KwvuKz7i7u+nI1DltDwbsS/r4k0ktg
B3n9UVNyr0zql1U1d89kxRu/5wmNvnl1Kn6EELuQTUCXObt1LDFu5is43sxeFOPpoh3bAb41xGS3
bnjX57KHyGwhNgMxSHOvH2+Giw7NL4p0TKYFdQMqdXzRq0MI1+FFwe5bcLWQmcseWgywDJGpi96t
L8p3dNHAt1D5YLuhi8cXhdz8FMupfIx/U8+ho5uLoq4u2noKuOMIpB96+0V59xJo8BZi/HJR5eH9
F8tFp//nMP95mF+QtL8+zH+7c/rPTevlq345xi+dJQ3QfyL4c3GM/jjG/csqZAjJ4R8n/O9Na/pf
8J38NIkCgLlYeg6F+fdjPEGcOLysYcURHvzsZ//OMZ78SSuGl4UbvgERUsKAnuL1/XqMTxRjYO+l
6y2LUrsjXqNLGxK0cCpIeH9OSL0w6CfM83LGdXc9z+MjadmeJQqo+IAWT1aEXS0aUsZUU52NsIVQ
uHAorIHdUd+lN5GZzWGZ+u6ehsghRaHzzoD52d7W5jXd/Dr3GPmue2ggsMLvW2kUGmLTFF43NVkg
4tsNwZNcG7jqogNTLM28ZX6CJnOUmG91S+9V4DXHqZ3HouWsBLDHDl68LBkmZXv01agTMFua5bJT
D6GffM6qfzSTRKrpcnaSyDvW0CdOIm2afHNpd0vG6BvuRn9Ie3wX7qtrrOCaoS+OhV10U/A5hX+E
tyYAWI8W8Z6o7aUdu+e07s+yst+IF+zrrsWL3WaaawB4IVvx+M/seuuSD3ALKl9X0BMJnc5oek3O
m7nPvdHhTEZOKqX8u6oCm7HE7LixZez115p2r7UE9x8HHc9l1Q4lDPH3TQLCkQP+AWoBmNAmJ3XQ
J3c2SLx17416RWXFz+NknvIe4BqOS/SXZg/+YEfSeU8hKox+uvOH7XNLElmyeDrrhQ15PMRJZu1a
ZXq0XY7UTZsPydwdUpGabKbhlw4hmNELRNGHXTktFADy+snjqKS0cznl4g0s548xFqaIFdOFCzez
84lrrpOG3vFhjbI46smhqzto36D0AB2gO/BEXjUmyofQsotiepygV9S1uR9JS7Io6hBOaurdxbdv
2iGvAr0f/eh+AWLpdJeCfwaCMrimmDwIGgnUC0AGjGdSCVfE60YOcaNlaVqLoUJwV8oeNAGv71Qr
ALrY6MznBBZ+b5fCMflG1k3kbjJv8QItyy6eLC7sw4GDZS9mpxRgs1BiNBlJRvytg54swkw48Rjz
GJ8pE9ADbdtrx82Sw+dDq7KAr5I92MogDM+NN99HfvVVxwHP9NImJbPRVRvRA0xsh9kvvV00mo3G
o7ARKv9IkFrJos53GQNuj3TTcmsW7wh5acjWWX0f6xG0WvDerfNdHcKY8EX7iUPqBtBLmw1zcoME
FCnheA4Zt3rCMGrvgi74qEOgIrarDkGzvs91erNQ/Sh1U+ct2742sIkz6zGxS1hd77qLwOZ49NWa
/p6K6kI3qs96m/oDfOD9Ns5xThsvymxomywV8tFUArEiIZvS69QXPZsv/lCtWTSFbwOpv+kIExxS
jBjeDMeYa4Lr0SQv9eCdfTGdkrQlJVlYGVXdiaPDgQKOyZj5flan3lfXr/u4NldmaJtsju2M/iZ+
dSA7MyWC9DB1cVpYIHyH2ccHr7dpeEuVSbyihyz88U9Z/G3GQbP/12Xxv9u3DzP8uSwSfNUfZfGn
YAOXFBdnwvu8FLhfyiIEnjC6XKeJKoiC9HtVROlD4cAStN8GmF/TLLga2cf+UpD4v81E8d8ZbqAl
/Wm4QV0miBFgB2acYFnmv1dF07FNsZXbW9IET8rYR2rZuQ3tvVq6GgZRWJ0EARLth4d6XWsEVhXf
8Smac7eMPCM95Mx4RTECJPlAwm27uH9+NocOD8Lm3zsCNyNM8b008otlU3f+MRUDvRzTj0Os62zT
JkHiarn2emKyVsMoQVfs5R5CnUXs4rpsJurBCZj7G6LbJ1yUxK7jadNXNcWH3URoUgWHjECbeB9a
kBPJZOY8qirEZQf9VOkEWIXXdhkZ7LHv2I4nTpRWgaSMw/YTvP0LWGUvayg7mMB79DblZ7y319sF
S4Te/o4sUg0VdsQQZOZSD8fav/JF8DFVb0OQu1QcjOGimKcR2YNtrPGOqAahV3hPdLNd2a3127xB
ylrc8DG6+eQ7HOopwS80TPxoh+Ru9eIuW3XpbVej809LmHxjdXQ0pA6zdGUwGGJ2NYjhTrao0iHE
8sws/q2K4IcJMpY+anbugthmTgh7jAe0GCCQH6iYw/vUq77jaLu3OgGA2ARNLv3K39He0MzGk78L
Ish1HTeubNRQF1zNfjaQ5Aru73EdZZixoYI9pR8WBQ2cbKNf9gEiE4kFhxOlYNkjAIyl6N30KBwJ
coQovwjP1Bkmon1P6pNV8VOYwk/yhN63K9K0kHbqqUoLQyuVdRffG37HATlPmkeuPwU+fpdt6Pdp
gOi34r4md13o9COaNfzgwULyMrdbOHxHj2SOdPLu8AF/S400iGELfaqU/zr00/UABrvw4JYUcg4+
l3n8nOJ13Vm3II5oE34AFv3e4hFFVJpWuQKss5Po/RgVFg4TOU11/bXb0vPW+8BQEMI1s3fVr3DY
LEnIzglI+EbBWsKEfOPqDY/P9FQJ/t5XcXLQAUD02msf+RZU2ULHL30QH1XvxCFh5gQYpoHUF7W7
xOpjJNjzUJHqhMxplKl6e8T3nK/QlU7gUo0pnYiG/CeDPA2Ayf308oe3BCuy7TwqfB5+saYe8mnD
UG+t1idLxwV+VBxn1Sr7rLGNgzlkzasgXBx0VQ13NbypbA76YtGrv0vG9iWhW42CXgH7rP3MUiPx
B9Tpkjf1CARVSTztjh6tNFVm6qgqBjoe4dDDyEkQuvR5s4/wWuCRBGuGY9HBNgbbXjtgFb0+hK4/
1F6EVPAG47p2QKwaz8eTFrociPKSrWEVF6mw6KCAIgBMLryQ3dUQPYydnv2lPrNhPJlgvUlhaUzx
NGabbfeVxxEqb/mWaeXfTMv4LA3TWbNWd2043isxvySwEm27vVqOwV8hIpe1pn5BjOQULuSwWvvk
kohk/ajR2xgTZGmzXCnblzEZzK5dE5vRYbnmQ3CvNMzSZfbLmHYnOo46W+34I2T8mxT+LbI6N4gW
3UEgQeM72XfOGXpitb02FRTUsE+SEhz1N9vG4CtXtDWOdk+mCs+L15lyavCpQZZsVS/BWLODDCMd
7FMsSigrgxQEk6b4p4T/LOEUqbi/LuG/XWP25xJ++apfS/ilQBN8VAOk+yA1/lLCsbsMEyqkdURM
L4DU7zUcHg6NYLogxnohyX3Iir9PtinujGEI7l22aCAK+LcgqOBnyu/XcBzDYItxFpxShA0WeBX/
XsL5KLuAcbneSn0XrPFlEkGcfXHp87LROSMrCmRK9VWyNQ/JGr6veNry2NtQpStYkKu0QLhdiiP6
kvgODI6L6D2t1HUzpi/b1j8HM6aaUex6L0KbmsZfmw7VNLERzf0ZyD5tr8wczPnEpzRTW4CwPqzU
JiKXE0C9RCLadoGJ0OzyPqeU48Cj7FU18YtYt3ePJzrnMK7nfnxW0t0NaXiDCKO/J2nyiMzPszGL
uAHAdDLzhCLp2bOf1AD1NVY0LAa/84baFEAvHY9jUu0g4vKsZnqnK+/L2Mk8dSxjNL1pkITagOIX
Oo459hpYrOVA51LLftcnF7/cYW9G6H+YVN6iPYgyIfv1cQPvJSce5H5n861foozVgczhf8AC0l5d
ph772m6KltHM43KRpMGSAJkW/QzKzFv4fokNTPp5Khqk7gokErNkBmeN3P9jtOJh3wb2gkrVq1zI
IXxM41E4iMPMwERaIuBKz/48b3U+JQAyC4ax5NJIuWm4QR6hjsBaiiYsuNla6BfyKomwTcOue9Is
IOinqITHAg9KiD02a0x5vPE+48x/DuNuyts4/Oxqdt0Qi7Sw275BgauyyOKDU/HxGUGgb7L5HDg7
9WEDXz+0aAjG8zLEdR7V+mAo8cpKISgGzv86JabN1RqcoZB+WcPo1HadwjC1vvUQV5/D1j6INnzw
fcjj3Xwc6bJf6pofJONgyyQ/aFuZXPTBeR3RhKVeFx9XD2LC1iYv3jQkWdR7uzmleyInTOuo9Qmf
j1sKPo2YDq6V0EU6eZgikbSTsoozEm93mnJwNGxnPYiNwzC+bE3zpWH0B5DbFhHE/pUk5kpz9bzG
1VfRDndLpWS+uOSgNIrFcGE+THXgSx3nDZZG6MWd2hEnO6231wlIF/idN7dKWJ70nNay8GX3FXCg
K3iAzQ2KaJTeoXkaw+G5smzKujG0eGnqrBZXdhsWl7j4a48QEWIs0fXQxQ/Yn7AnAf+CEPayh1ib
t+P4jSXiAXm3Xezr2yBkt0tHUjxjG72qExTBPtJXm0IYPBA7pT/UhfeaXF3ame+NnAmqWQh5la13
MmLAtjj+zQw538X2dRvtgg0p9K3lXAO0UC4nELhAFtJsmtanaEOxXEwDlm6In7QW56QnX7ekukap
ug+ot/eJ0hlWgHzwC1OYgkaM4v44jS0+gPypAXFX8pp+shpYi5z8J3yMX2MnwTtyc+NkdG/T4CPd
1qGsvfnO8BnuqvXDnAsaFxXXLGuiCgQawiWwB5bmblXpg1I4V6q16498qkjZgnre6Sh9X7hDRLi/
4z5ylzzGKGFnwvN27dNyqNm5S2x4hxjIHptsKn3Pp75+7LT/na8B0C61PW/GXAWbePe1D9Z7XJHC
Sb3SKXpTOXCdUA0sInaJ3qUKC9E7LPYZ40oVg+qarHV9mnXgmdAbx2hxWDPkPByuwFUAyvRPcvSP
VeUeBjFNiKwGx2gLb5bRO5sWv6VUfdE5WAxs88JiRUi+rtoxT+Lwn5L/224sijL8/5T8t+7t/yj4
+Jo/Cj62SeDuc5g/WIv1M+Hwr4KPHZYh0gqQqjGCQ7n+V8HHxY8RqA2gzcgDwXf8peAn/wVQ4gI9
Bwzi88Ws/BtSdkAuQ/l/VPwYSwb8S1KbYrnqf0jZQ2/bkE10u0X0GFWVuvASy8EAxdZnv+73vEq+
h7PfF7wb38mIjvQCSpAlPEMXbIpeec/IPBSErdds60TGXLtDWXYZEfI2ks1u5QmQauQOpD9SGD1k
r5b0eg7YlWnNHjm2w1jTW+QAUMqiTeWDwCDvovkxYmbcucD/9CJ9hvLQ5cjpies4Ul0GEQxBx56V
K0VB7j2ybwEnEQbdrKPJS9wFd5Y2tyx1MhsHPaVXWMnzoqJ1zxegxytL75taPAqk5TQjQLVZbTLR
GFKsLvycjagxsY8ddgjj56xs2m/eAEcT+IMX+Qeg22QHUBLJ02auSpdKgk5JdKeRCHWhQyHoA3op
VNXnsmG7tG/ewUIVbsVL7ya7H/tBqtyE9R6Lby4WV7UzszoMWpdwd1MIqZiDwsY/0tWcA9LIk++x
E9cr0q8D6dDixFczMmx5OkePiKFFuzUZMPDoCb9FOoS3CRJYeoaoarYUTYZlzREt5E2kgjzQ2uXW
8W9WJE+1l7Cj9IJDuPJPEhJQYuCMEf9pC8sQqadGIxgShgdTcYtdCC15wt4hC3uaHVutlyIUHUpw
c4DIEOfINfq52BB/NNLyYzTDesBJDoe6TndSIyCyVXIte6RoMybUd2T+Naor9nw5b7uYBj4WdTBV
InMPoI/4VeE5H7uAZpIqjF60vVYRx2Q7euwgLiLF7CXq2CVwbuMQkXc01qAk43rvDGv6w2CF4Y/J
nHgnP6o+oCEA10d3eNq6CruhmuE49OIJoechI44eQg/Ke+ui0lYjK6dEF8mkzVknw7W17Q+zgNQL
t/lMlum1s1hthGzty0j7OpNBGqBj7eCvJqSMLXQXvVy1LQmh+tf3m0um3BjECGZ2rbcEj4T34maf
IL+4HWra4VWL8Da2Yj8m/o7JGuRmqAwQTLuvY3rVRKiXJHXfNrCVwHef0wW2dsv4UdCe7afVtXnt
9xLVyNidrPRbShQQGy9fGoGVGml6rZv04Nhk8jn2PiSXz8Zb+1x4Aho4JR+B7F6QSi480azZgGWd
b9PASs/3vk4h7NrZJcBb4OJD/lX3kQq/uW46Wz/+iDd7Xll3s/nhWcgNMSiDVgLqx7Ue2n2D9G/Z
xdEZEUXsnKoJkPvqAZQmmHS5fqPxk/LKcE3OnZS7dKotAr0SokTnPckJ0p9TzX0iYy+nZvjaee6h
jkaea2+7q7DCLo8CbLyaedFKpB286LDZ2WDSxV49yHNpPqg1a6r0GqExbG9St4B0cnRNx4HO9jzF
i9irdvuWRpPbOZghERIdDLvtGq++eBb91Thvx7ST75RhyRUy5kXSzqjFsn50DXtPkTgoxsXC4+kx
fXhO537L8RCbagFA4Mq2x1mYpVuzIMSLDQQ3/wzZP4fsCzTz1xUXCwPc559L7uWL/ii5l1uRcVMT
7j4H1YPB+ZcZG9X4ok7jHr74f8fv/52xESeCQo55Lv0XH/SvGfuyYAj1kbEg9i/rK/9OyU0vkM9/
lFzwP9ghhZxRGGILzb8P2QjNWGxuqIJbu4QECtp0nNewL/w6CECN9TuYXlj55tYvMQXLYEX4fQiS
KwcBp2CXcHa9IAjnhursZgDumuhrr0Y2KdmwCHKx080yRLYI08Hg0Bnf11R/raQosTHgQaHi6NWd
aEAf+g5Cet2voHk6ahERpFe6xe4D4cXPGN9N3qStw9DH0b5iaSB2QkDU3JY8WtpbJoJbf47KtDen
uOmPim3YdzlxJCsUTfKpWvboe0uadD+QlHwYZ8FOWvA9Fpu9J3IFP7S9LMhWZoq2NAuwfwH+dquL
iz9LFlhTcVe9zP74TS1TmFeqOtDR6KyzMTDGKhgyB1ETrnRwo9r+1Cic+/Mw/OinCkEGz0CWbBI8
7gPkf9Hf1mzqTkvrkHWWkNbjFk65qlDPUyL4jY1Q9aHrbjC2wu0HjGV1M4VAoCXe3I631T00EJJV
dviskEa8rk1zZKkHpY12677SNrm1cmnLOJ7xpzZW6J/gX+aqRcAI2nEFg9+P9oCSsK5yQBA9XGJx
T0Tg77euRjACnh6cikBk2JtiMtkGYPvXpj4EwQKzT0q6r6vLRiScrUG0IH8PLREDBPcLf1lBPYZW
7kLS8V04B9gm2TqK8hdgrgzqKyQqz5urb5X2j24VyAm0yQ++1VFWx21YelYGxTqudenzeN2DhGlK
UlcJ3gh/RYSzT/euBlhTL8O4TylS8K0YsOII+yMeQEYm+7G7BCCQczgQwnkxTdCAbBB49w0u38ra
Db8pRI4ok1CbdgnOyLxe5yRbgZOXHrZSIGau5IlBl94LWj2t1N6NI9Fl5SVrZlz3bhogarKKsAml
T8NTl0LvFP5lk9d2eYsk1d9mNCrPGis4MotFjId1xNoyugiTNVz7twysV1Z1GyxsvO+YN73xkMzg
N6s5hF4Tj/JDYTkoYqGQcSbRegfisPGTIaTANaRshPGzNkXlx9KW9pKTACBVz0kxYLFrHk11BMB9
uUf85yGaW1VaWmOba0ObGyzxcQfsefjh9Pbu/KnauQ5LD5u0wR5EZPbzYImKZuijY7RibWTkxdM+
4Tp8oN74IlPjvIK4EYpPRRfYtHLsvs94VfGG2CCv6gaRu6pH6mF98pER2C0g0nIypSfd0qic5xWK
xzQiOGxBMWDtE3bWiFJq7Z28kBxkEDxP0NBzRJaf2r4+xbW+g/Gbe158bdk3HtPzaKLpFd7T5xy5
qyX0EM8DMgvtaZyvRixsOaQpFn9KNLKYcckVxU+ruuo8TeGPHvtNcn9rrslM/GxK45ctQXsv6y0B
Ydx+WLQ6GVbaHE293mOh3xXAOuxTukB3GjmcvZIQdZapQl+3muV/2Duv5TiubNv+yvmBZKTbaV6r
MssChYI3LxlwTO99fv0Zm2xKpKTWCUXclxuhh47obokAUajKvfZcc465Aqxqg5zL90WLc9tuDbGZ
Z36FWp1f9Up4m03Bi1r2z5XJ48FRqwHLRHOMR+11SkGrtqnBbNgSg9B6jdg06l5qNj7TBku7RctZ
ZAyXrTM+9tQNeLZint0J+0aZ28Ueayj/ZkeQp08x01RdeewTdQcKgcHVDDaJWtZXMQZInARyuplc
r5uazzYg9SeG2INGZD2TVM6FzySNE6V7L017X/TiCQICo3fOBr5Z3uA2QScqpx0/dLaJdAakXFu8
zLJPUcJTxi0VlgXjOnXxKw6ltlNqazeP5Lz0GMZVPF7DRr7I9JZ1WZy9dY5LAMg4aWG1Vcx6G0Il
4nfKOKjxv8Vr5MTxuo37r21sn8Gcdf5QzvsuNyOUh2ytmOk1JBmFs6AnVzgfoy67zl0FKSq6y0Dj
RVaxs/uM6GUe32Vxtwbj0ZAqauF9zrg7IGXF2dpR2wlSoU5ARP0MpJ+GcwxrTevorcPyMSUeaRU3
qvTg/DsbfZuNzL+djf5TZESzzJ8HJPknfxqQhKNpAieci/4gB5TflhBgHIhAM5v8Fvz4sYSgAFOm
sF22wwKUpvGTS9r6QuGK0GV6GmimijHhHwxITFV/HJAcFQ+fsCwD2UT+VX4dkNxAKa3QcaqrYopx
Pc0WZjM9071sKh5h1jm+nqDbQYtL11lqZ9wZu30ttK9DqeZ8bvPxMMqkZx4RaOvUfheWpC55PTyj
YQ1XFj1PeI66xE7exqBBqCfSsBoKHGKAaArfzoWDwjC756jO70WD1YdQ2YxQuFzMYF7CsCuJ6T4G
iXGX53FxxZYS/C4+Vpx1MKDVSYsPOVjowEQOSF332klZB0y9/gmQu9+EujLeFbW7w6d+TKpp3qgT
2/p2uqm1kctTlZG4rU8Dp07Ih1eoLXq94EJpN7covg3h85KntL2wVzW2qepG6Jrt+xxr7ETDcOCQ
mBu4VcGWpcMtkYVNNJnQ10zy600T74fMftE0mHvjNJ6GsCa+soQAW2rc1lO+i8pY86a0h9zWpJ4r
lpuAI3cnFI2Xpo+HYxYT9c1FeOJydHAdJEZCtP7SKR9JkrmYs2p7FZbxdlzGeF0HPJSVITVxKUIO
7RfQVJlzNsICkyI5UcL2CNadcZMgVJfth+6UX22+XD/zksU1kn+kta8RDO51G0gujN2x7EVYNSr2
yYYFlTwbwL9lZry25nbnlO7NTPLuXOcaaflkgiipVX4sytZDT9O3i67fmYs9oCa5nqOI+wpZ5VAP
yS5FQfasOjipLdsMlAKQW9mxLbszEDevyxi2xmJTTngANBE/umZrbotJd9cBxCDPzerNEtuXcz0/
6WW+MYvhhcxLtc+N4WZoYYBpy/jJdwZeZGQYB2rtitIVTiNtPicTS6cgjS7dXgkuBqN505qAWClT
+R6zpvUSEaL3ayJGSF4FO2R12YgUY16TDNUpHBT7UIVlC1moxJ1ukzRyeYFqZSUs5wPQ3HgYCCA5
gU3ceNp1RrCZhTF6RtA8uyaQZ3NmlZ5WfAvus1XPLXac23UveIkd5nYlj5Z7oyo1NvDziLPfvnVq
6wj56zOL6tTTUnGTBVF4tEA7LTlbg2j0oC8WfmqZrNDb6CNZKnfflfbHZMs5zAFXLga3xaDdXnd1
yUvcXAYpUpzdjNWhtJs1Yxlh/NQExLpI5d6BZz/N/IkJlasYw3mTaAH0gOCcNXPvmTnw2SHqkQV6
U/eCJTvWeqH6i2rVBFFhEWgMBkFxGBO99eJAf04qjLiW1XUXkamol8bYiE/m2PSuVHGPZIMDek3L
Iqbyf0+n7zf3v4WEAGx+HT6b1/bPh5PEevx2OGFykx2OIIFQq79FZH47nNQvrivwsX2zd+ML/1kw
ByrC3d1yAav9Gli0vzjyoo1SbkjQMwr4PzicDHnM/Xp7d9Dk5XocqJHOYShv9z+BcovQ4ZozOMAI
ULV3FZ8OhDaH0WY89vYwr8deby941pdbQ13wWUz9uUhMLnBF/taYeokBtt3hIxG+azTzOhwtY5WY
KMVcHRfcPaPuRZ2jrGx2cZ4yTvkZ5v9jJBasOER01pO6HCHzXTTClA87LoRKtK3n6jFwwpKlMj0C
zUzUrUyHXZ91hzBPyMub4rA4MQAB0760dPM+FEQxuti5dkc79Yomxl3XvOoCnIMjQiLOguoLTNGg
Ib89KpdLq7AfpwCCIOmrJzcrH61pOLqpdjHa2Z0i8OhicF4Di7svGpaBigb0MxiP9mLeFEWy0ULl
WY8nFrIhxAZsV21TXVR2+cTQcTKinPS1mLYDtHk+kuZrl2GPKaaMlLONy9haWO1NWcYJztJ8DurZ
d5yi9wfWiSxd86tmnMh+kAcvIz1e4cw6jRlbzHAZtS35n01i1RjOhoRkklasFX05G4H1rnfVXdrP
G4hncAPC4kzZxmaO8n2s5x2pqPZs9fZ9VAcUO5jzkyUhHfEoiKlrJrNHwXRixDySCt1GkFmum6mw
N1qUHSYt+4wWBgoy8vdW1GgA83QYE6V7lQy2fsoCezc54W19MiP0bHxwo3O0ZhJgWEQ2sc0TzkTP
jbsl8TujG7ZN7zxFFnfxvi70VcbpSjq2WKV5+Z7aVuklHRlFvdY2mQP6TUXu6eZdzEFITDR5axrj
k3Uyiw013IW1eZLYPLIFIajjIfdBNZgPhqAvA8AGl6IgJpFXH3Jh7TOhwaKMNo0TYhEDU0ovB/UX
esgqxfmWpixE3/njoFzH1cjKNR1ltB7UlYrfbqlZTds48Eyl1tdY3XeuJX1eeoCH07Edj96vnS5t
fGUzvQLQvCPT5A1t7qsSq8Vbl/eR+wgHw1hH0hCIMFH7sRuSuJcdH3idbC6aWAi7DDXLENmNOwAC
17EAgHneE5y/CIZWW+XSipiFCZ8Lm2wSgAS8btKyyICsbhRpY1Qh8R1nnI0BDkdDWh07PI+OND9K
6PO+avlZom6ENLjgXDPx2oXqAmiFT0oijZSwuM5shy+iXFW9SpotLVyXGYd3hwuzLa9jE5tHg0HT
cfJgP1nlaWJ/hFNiPLh6+YHVGxch9s7czCvfTtsUx4eSepxSuGeF9L7WIvSiRdli0kuWF/AHH0Nz
kST7FitpXNYz0xZvgyEPXmfpN9Xn+jKQDtQCK+oEf6ZgBkNJiR6UMP1Mez4yOql/v8LI2rpEqaWz
1YXrDE4wuwOv/NWV9tdw4n1nSEdsWYS+CVWa6Ri7HaNjcaHok7jU8NLCIapP08CZCVA48W13CbxJ
mm/7AKk+bDDkRuNwOTQpZgtp1s3c+DZqeDcLM9T2TQbqyAz4jQMxBQU+L9c42S2GJoNRPx+WdYUr
2KibHv2JD1a01AFzJeZh6F80NNBC4pV1Z+4kT0NajVOYv+TG6uvcNI4ZbmQsCneBNLtp+nAIpP3N
WJYJUEXJZoJ0pNY8pa5oR99qCytZt31ypIACXFg3GLmOjzMogMfFLbG+MDIv/p0Jvt9Ygfb/dzX/
eyPnnwcCkz/180DAEpxgF78T8cdeKTgVOrtwCQ9AvP99IHApHbN4hBhEsFiVo9n/ZJnji1AKa4Ml
17/t3f/BQKDLv9qvAwGFV7bJ18JJT4jYkLb4nwYCrLh5hK1VvTIcNUbW4pFtaS9l+IGfZsFMh6Zf
XMTSUxPjNroYpc+m0e0rC+NNX1cbCyNOhiEHc9ZalQ4dop5PRSO2NTcio3AuK+nlae1nTdrEMkw+
C2afTuBpDqX/Rw/7+2oq7lihUwvlqtm6rrWOT0n1HGAfsrARCSTeHFvRQiJdw2ak8zxe5xiPIlH4
rnQipUu8a3tICgkmJS20d6N0LZlpd56wMVF1c79gayKm9YSjIV+lGJ4UuC18HB9SeptkxH/TuMpm
wSIVu1Cy+Mm2gEV7Op5YpMZY+I0AZg/A7z1NC7RFgVkJC3NrY8JqWgxYM7YsgPsTZpfZ3i/SszUG
5jFRM4oARmVnjXjHyWsFux4NCaj9Xv9m/bJuxqq/YQXa3GeYwzLpErNq5xBiGyNzRxgPH1mlTpeh
dJaNoa34ArNZNyjJesJ+ZmJDs/BDw/0Sh1n7wOn8EmJXmx0x4h7GCgHJ7CWVnrasNi4zTG6GdLu5
2N4s6X8bVZxwCmIgJH4OVOmSU6d5l2Cbc5zRr7DR9S2vWSiddeN3l136zXIHw1iL/IDozZawFLSJ
rmQ5spiV2u1Lxwn9znZnHlddQmSgVBvIU7EZDH7bwvp6zYZ63Ced0DsoM+qUryaDPdI6Z1fqcaBH
XhjVNeAf9zLva26MpfFeRA3P7oDrkWEqlAPpJf9tVL1xad+toDdBIddfpTDDyZp4c5EvK1sDfBmK
9MZeqvloG/ZJiVjx4DDma6jQspToKZvM58KZcG1Owy23RzCYSgVWrBYfSdV+BXr0uQBRWA129hBi
iVmBHrkk1ktBVasfm0KJ/WTsDB8jynnCcOYZbrozo+YZEDXId8XMfBE4z/jEcfebVoIZbPxARZT1
bSMW7xzyWRGDolZJH19moXIKn7PBK8LwUEzJhzlx18x5vxTQK9LlaBXFNimr68HgyIHqdV/J7JbF
gj4DAUbjArqLaj0GSPxbwf/jaONjuNTXcZCtZ1NpL8b2mQoGltWzUh7xwy+xx5eapAnPU2BZMsEC
FVOidp01EzVGI+JoEtU3PYuPfRpFx8UqTkvDUqqovlroMhgBB3B89Zw27/+eK9/vmn97rlC+0Ld/
4cxSfz5X6KV0BSeLSecN65ufrdi0zqJockIQY/pu2vqhgrpfSCbzjzAcCdzaP7MigOboLJV/eLb+
IStCerx+PVdoSwR+qcHFxO/FMffruTJBZgB9FphX6VLZ836xEIvehsjogiug2QapSIWShh2iDop9
H93OMjqJ3lJxHcH5owVWvKLDJPV7tzOx8+CkVEeJ+JJRzJ5MpibDmaxeXhcZ18yNqPUaEpzZtygn
mc5EZjtlyLOScc/BgVbtyAho7LJfTnstIBxMQBSI5eBHMjQaWd2xlzFSzY4fB3KlMflSSwZNy8kr
hmUb1/B9BhlFTcmkLoQoSjKqDNY4FWVsVZcBVldGWWMyrW7SXFsWIdeenRZ+U/1M4pbYrIzC8mQo
PHxmsCLb+qtBXpbkJvYdxfa7+ZPLoMDTVfuDjNhmeXE5ycxtEZKzkTFcs6UThBs7lrJKI0lacoFf
HLdZa8N0NBbsJDqZ3t4JNj0FhBpZXw2bVkv2tzVavyELzJ4P1xKAmXUzGJ8dS450JCziqit29hcF
S5AFMxpcogBLNT76gUWJIzcmWVbtclYoU5ncZaxUuq64rhr1GLFqgYkNWV3k1zwo173cxqhT3BTb
TtGcjWNVB03kb4hpZK7s4IJt3wU9BwVIjqCwDoggzbU2sQl+SRqctn5rlGFxrSzdXG1zje1LqKbq
EzheIsjWkL4za7E2bEbg4/07RI8NBkbJeOMfU8b3yVWrXSfwLFb5gGQ4RyezCBwfRWLe1F30dVTk
U82Zny3VveuW6VobtBeDh5paLs/xkLhrS7SGb4fmR6xPh1EN5xcpFq5AM9M/YyA0DM0A3Y0Aj2iu
gcDv7MZRLrBC380xPxYMZdJ4oXMVTC1w5mghECO8PqI+UaSW63fWrO4W+6uWlCaVBnDZOnj2ecXp
ltGvkIausRVKTF3Ksp0q1P8mH5q1UkbvYVova3y4y8YZJUtxDre60j7HBO5LPjbkznG90S/B5rRd
yEkBaNJgt0+jGeC/U874t56aTj1YlaGxgUvuBdqnTzrDJidHSom6G2jsu8xObfJn5aHgVrGK6M7o
a0eQU0+/tlF3VeXm69Cy+s1ISKVzciI3dqxAj3AUucdixB6tG9ASE+JFTYS3mZlh3NYTEPcu4lKk
u9lrkTrPi136eSb2ahs+G6lRkTKwkE0ih4obXdzbSnQ7EXoksf5UR2a8ryJ3v0z1EUW1OpKRf7LY
MpMwuVUsC+agc6W47XWkWp+VuZzyvNmlJe/NxSIaUWlF79GTczMMbGmpFgj7eNskkevj6SzYo0zW
Szu0+0hP+pvAGSKqbTKCFePR6tr03yXfd8ux+rcpIz/7H69sCAv/+dYk/+CPWxPcN/JCxHENEyAG
0aCfdnxAlU12HdzkYVNqMhH8++km80f4O3XuMt/PxB8mKOcLoEUgD4SNpCz7z2RUMst/PN0cvo7K
+WuybwTMJGXWn25NdRhMbJQGwsLUs44yLTgQG1Rgzq3spG3O9DaRKcyt8kmY+DJdDJ1kCxSb+B8m
pFYZisMSYl6ipq5Zq4QV0Utsr+GBtK6ghBDOwe+Ty4YVQV/SujP7EuOpC8lBpiAT4pA00zCJTk7E
59i+d4lMhlFUbCyJhbWJUzIghLuGgGUXT4/ByGdqSKpb7H3EVJXY3Wlq+F4Qz5wM9YiZ5VSqjIA8
8DXCwYnGgoUkRkW8Mxvj7SzznnhxaUvNnoNOP3RW1dJ8AxZkCLNNWNMqxJgIooEAqQVxadfJTGkz
iXnjltOnVVqfMKsTD48LLA2iqO5kPBXYcw+QJErY6M4rHVfXkcyv8td8d4v8KmVV6BiDvVYiqywf
Jp5zvq5qW6C85VaATsOysAlLVvsBM+si8k8r0/xJYtbKrNpyQ/hgGXMzWmm4A5/kcBAIam7GhYxU
rJAFUqYrMLbgioG5xUDdBkl348KNCVlz2NFI9lsCBC4bxr1hdS/0ulBsYcCJ6+FRLZIc56jzA0SK
0TlPLQygqpsWDBmO2bgXkVJ9XfpIMGYP5E4SriflJDeA0lGZx4jZdZy4+6qeo2sj1e8xJ5Atpa1p
p5MXWUBMPy+qvarwYLr9XW9l4YnDtjosat7Q0qGku0qU/kh5qYaIt+KmjSiJmktrbvwgVV58Nr2z
MhSUJXAqnAZWNXmipIRMUcpzmIDTtPDs4qq/o9ELjS4hkd1PO+ovDmZf8BLDxQqS6bES8Ydt5BeB
khAqBc+LWw1rqK30r8SY0PJM45kq4BelMsg+hfZ2ds2SVHuy01U0YpvV5dQvG0U3CjLh+IcLQMSJ
TSo8vbACmyY4Nqs00N3mS/GV+7LjU75lrSxKktdVSlkRd913zVKe0FeQt6ebLOou5kG5Y3Xw0mVI
1Q1kjZrQSD01J5JC91ORHOcRGkQd6A9hzmEdNcEdDWTHLuEVqvTQ3LAFxJDiuKdCN58De7wn57Cs
shDkxaRwh6Jx6q013ZuxSU5h1ZAKkHl6e5DVujfGzM+SB/F102p7KifWcOEPIUn23hqPlSLewrl7
cDB1h4XAjieuonjZGU2+qlSix0TSnkTvONskVBAjYsYvHnNk6GoFO6P0DAW0aMkC76emzQ+GO1ym
hr6nJPmhL/C3DdTUrGtj3FeNkN140umnZDfY4d4qI8c7k2b0HVvOVtay+BhcHB9iSeuDbMs39Jrs
FpMtA6CahK4jWOgtWWcdv5984vKUoms4NYdz2auoM0TsNj0VzqFKyltj2lF5CXgmXRuzdZn07ruw
GEExSd/rlnlpmECkjR771jBX4LzkI64BVj2E6q3uFpvMjtD5ZVSjxXvpaiLb5YjjWtax7MC8TpBu
euyX8FZTzTc7Z+AMdeeSpgrMAKGibJI2u9FsHJR1iFd/1u03nQosXysykI9W5c8Gi+o81k052m2g
3n5tuiW4TWoyg3Gj3RXxQLiB+f69ihQYRcMAmJpnRBw/jtFw1bjRDvfEV5q2R79j/4P3TsULWVfk
P1qhcDVol/wxx2Qa0ncdAjC3htKH23cUTnPnyvByI2PMFBW+lEvs+pU5GPjAlycCoZQBDu2b1SFe
LX1zNuPsFJGPJrH6MpGX1mRw2iiaQ7bofhqiGvSduCYnfdm7CtQXGbtO2J075LBVBTJbI6PZcGDU
Fdr/nUFqOw7A8ZHiTgYc9yn6In+b5cmVSe96fsjFeF2NyZn3Ay8CmfCcbPgiUJw76eIcVGg6Njof
7cO3BYlyDYI+xXlHU53uCx12DclziwR65ZoFe3U+1TKcbmcWGoYMrLsWmcJYhtgLlaA7z1gP/vkO
kvOukYF3O2957FhAXmQYHrw7K4ZvAfkq2S8yMq+klFx9C9HLOD1OX32PPy/Gm0DYvpSx+1RtuBXK
KH44xUz8jJ7/Cg7fBQds2v9dyPY+s/85AfL7/IupjD/4YyrTjS+CCz2JsP906Pw0lZlfdJB4yBE/
uLo/pjJZSKyqjBsW6WyaU43ftWz6MVCVbZvolmXAttT/UYHOH2cyuGps113KNOjOMU2Jnvl5JuuC
nsfDUujnAieimsYXdpiujWH+PrhTj/TXPT1UZ/wy/PGTEHaT0Bk2+XTN0kf56zeihTLFmJuOZyG4
V3WUnpm+WPpDHtMKVephSgOfjd2wK6/cub+o0+re1glfVpA21iNdjn7aaOmRjIrrQQakkHUm6KUI
8mfB2DyNbVWtcyfi6i0d5VGb3VZ8w7VeZedSjbmo2ADKnZpqcUcZyHVhhsat7BzrfFq7eOnp72gX
rE8WLuy02ATWsKG9ufN6qLxem6JR2+aj4tiXrtm7K37MJxrKS+RPccv27EbJp5OiCIKoHADqiEOT
DuM9rWanMchDyIjaPZevjIjcMHi6vNr1Q3dNOdqGsoFH12k+9dB+CfP5uZE75LS30Q3m+MypcbTs
nM+tLXYk05tty8m9NprmHsPcLpbnZYa8SILhrUDA3wy5WnnWAMU3K6fKU3ppi2aLt9FIZ2t5LpmU
yZXpgJucM2oPK8OrrfSlt7V7wlOX5ZT3q1Kbb+y638JI3bE2VlYd+1n+onQaUAOGO18XtwocAKJT
GMhs98XtWN8ak9fXhJTa3gTUj6+WSwrZvDbZsrj96sws0lVLXCpDz8W1wPpfI/9o9nzSR9L4M3rT
GGnxJtWyMy11ycYwxu2Sm5dhGISrTjO37sBrG43I84olBq+q3RfAqjtCEjdlscyesbQPscXUHdJY
htMsu23Hfq+JdPAaQ31Xsxlu/Tg/ZNQTbCdjudInrgNtlAyUqzUfWqZ/6GOGrENfS5kRIAKijcYz
bslIXOdEpUjiWxe2sdB/kRXvS1I9RXYbrbmx3KGuQPmv7XQ39saWYMBax3GFBZruNN5ioFvwXPka
Ia7XIinDZrM4SjevhTU1TAhTGg+rWW9o6zOpZvBUe9xozij9zs10yDKEZ33WuPOwNDWND8Jx+1hw
fVrYodNwXQ0PqTCkK5uE2bJir4BogiPRSxN9b7AE1gg4dNIh4NSvaIQ3Wqp8Oi6/ppp7f8m7ER8+
t5qw7eDEjB7BRG2v5IJEwThcODS2eAqmfBGnWKDbIcZjHo7PVmK3ZBeryzAmGt1iMoOts4rM9qJK
QE53LaU33RNdvOx3XeyMiUqnY0mej4+sUaRnlApgbsp+yQhQRFzE/GWaiboM8Yc10rCbjImBg1K7
oT10O1EGkKIesr/BlW5VT2PjA3PaR2ZDjaSymy37dUrUl0UAprczBtY5e8nM22FsyQf0h6oMSXmh
XnF11Dds6yPX7NgoG/5omDtqLzaNFqGCLdWwNeyk26gaCZVwMF8Kk1Aas40XKA1pwLHa9mzx5nJ8
bkrSa/FsPnSdyspOoa32TkJfQ+4yAWiDXMv+r8for7wt+RTluDCR13BCoWPL/PDPj+uWNZAZzNZ8
Hue1vTK3wWG6LS9ZCa2U1+Kx8tM9bvBVcEThgkyxNfY/HXDn74Gln+vWZEzp9xjTf749RU7kkA1d
4I3/9ds3QS8GxeqX82C/VsHeVbuVO70oZf59ovivx8VffR+upeS2dBXdQYocP/+YEDeEFlMaedbi
CwrbV9xX3HA/9u3/8X1+Pf2+/zy8npyBOJjBoPxRkcCeInotUs+WODYWPHMMC+bj379m5l/9zn7+
Yf7wTfpIVVsd0vl52LQPEKL8Yad+OB53l/Iy5z22uoExuSJCvbs/OV62Og2X8eah9QP/OjmMqx1O
6IvO41/0yg3/8R/+/u8n0TR/+qWiDZGOE2zcMXr/+mJnFF8jFavamSDYKbiGGnipPYYHuqIxcnjz
6vCsbaf1qd6MOyHW+RHx/JqEzAY6/frbX+X/dVvj/39VasxofzNIXn42758ff54i5Z/6bYrEIinD
/+J3k/5vFknti47gZ0LwsTXA0Px+f2h79hcLchAqEe5JsozycfFD27O+MI0Ztux8MDE8/bOAIwnL
X95EJAEkvkhqhVCJuLT+8clgKPqodXWaXnEJ7ZoDIXwugfGQm8qjU6b26OdWk8+o4Ul9rbEz7XUq
TJp8N+33akBCsZBWIbqJO+eBfl9UtHi4Y25uiF5nJX1YYTKtrK5I5a2Jzqo2uJpTTlyREFisdBp7
4jG/KdP5alKygcoe/ZXwi1iLJj1WKggXiyPYDpqHSSm2aEDLpncoTVDHDwvHBZ97voCxVLtwEhuE
lHIHCZA6yIR8QaP7sFy542uq5VcATBnk8rNiGriE1JlOKjh6ThlcM6PiY5RaFMAiWfDr7AZLdjak
UK0t/dkExr4aS+DYGIwycpr14LvCTHbID5nvgo+FDhdYZIijpx7Am1eIKiVTCZRsqVS8axH2+V4x
FFQnq4t2URuEoMYqrvYr3abnbMqUbAc5h1PATGAGk9E/qnUR3tidPT1aQxOuSpv1fjvF4opGDH0d
arF2AuR9oGJOP0dFSRN1O9crq7Y7ir6TdhOVlO7iLuNb64nzGGBL2RW6sXhzxCJnHjQwY1NKe0Ki
NdjoqPg+OlWDqTUHkhrydyjq+GDaEBT2JNuVdKODZRlmO9XetNowvZ7T3K6T5DLiDt0HDuENqDNR
gbRmhstGZTFmJi4pqG+pMKNJP7MSBF6bXpSqGnq5TSEDSNk1+ZVLvCiXraLzRsoplqqyG3reDpXe
POtKepGMOFBqPb8zwgiZQhIuqvrMzH0q8oktYtTZ6Vkkc4xFDOthcspFlCyXmoCPoKajn1YJC1gT
3GI6R/s+x804BeRTJ8I2fr6E78vEuBYQ1FxVrlSMcgDOwi3w2TfiHXdkg+dNTdeT3rWeEU1+j18H
SPl9KNtB5q4QQG3wqsIFJBUQmCdwGDmMHVHulJAbkoo1ZIr5NxO+bqS5vo1WtE5VCagTbkojPDj2
OYoHT53Uky1GlfuSIDRZpQgSane0OE/Xnch0P85aVkO5/mJNGsHCubwdqeJCQxuJNRTkuWombLRf
4iN0vOJCsj/zIPxAY8xQ+bI1ciBQGiU596LALkPpiqb21Oe1M9XzGmn6ohzdjcNbX6Un0CtUekG9
QKCXrBR8/SwfE5zKh6Ltyrt/z4/vQgRn8n8XIjakC4u/2g3xp36cHxodPhZPaZQD3AqqpLz9dn5g
see5zfrHUvk3xE+OOvsL/xtzg/ZNaEDA+P38EDT84q3HUKdztaca+J9Y7AHj/PH8cHU4kbBsbQ0U
HZa/X4eQNCc+PHWBfWLzewi7eiguu1GfrXWSD1XFcynul60ztu06j/JweihdWU5bugX50y6Jniej
vc2jevaitkjXY9dv6RfwuDFwh1ILncxJhnHJTd4MPotcP0TsQ4Kj15v2bRABdHFmyjN98jcE4h/H
vtTS645E+i1h5Z2L4aiwacukFJGNeqyc0qBwRmhpNeFrJXye4S2dAzgW1jnK6CoUhcO10MQdAOYD
Q37pCaBWxZ1lK8YmQDAd/XbSgu6qVtoofujZCAygU8fHVHcj4v9puYujJJnZBTSXY2Iexl7ciNCc
SXQWD+oiSWBkWsuoetelw9+K+re8o864gdZFVcpbJIvZG8U8Wb2OaX966KNYrA02U8qgeEqOFhlK
Y7tZVSAu5hG7bWGbvmZGj/ioHW60KVZjcZs641WSVBgrlPhDd+27vDdhxiSx3+a8KMLprm0DwE2I
sXw38vVxJlbpy2zQJJ+O8U5duE3WUhTIM+euzjR9Q9VigTm5U1ZTou+AYa2KYWi8fIz3RmTQwppH
NrFjkm4tQDBif+BE6GE6GJV+Heh9vsZ8ie3f1Hec9hre+XRcu/Ok7zmMkDN69UMtCXn1bb5WAhFg
Gm+3eeG+hlF5BKd1bA08H7FDtpliNpDjRHxdWFxToHwId9lk6rSnQ+kUNqTAoRt4VUPdZ17IAoug
+tqV3CGtmEOsV/L3MXInejSKJ97SVNO5g72z5A6St9c1rvVu1TmgyUSisMAisuQi+BCSW4WRdhNU
FAVQnhfBVWrEGl5Bu+b95kWifAKO1JDq6w4dv8Gu7Tdw++LtJDhWLbUG+FeY+3xg1KnFo9Z2J4at
u6SjFzZW24c8jG4iSSms1H6rhZLXbxGMHKLmZraDO+LZ10vd8xGBMeeBOwt51Mc4Dpvg3ENpn7NA
oYRFeW9qJfJUkxFkFqjli+Zm5FwoXAlFSymLanqaOS8H0GVXyVzOmxLv5LrqC2OdD6CganO8IHfx
QSE1vDKH0qw2vrSSiq4W1T5S4Sz5jPRwzjDkNT4Anqklr3COxs3sdlfwjJ4GJVLXfNSHVTLn1jrq
ja9UUS6rtCpv+qVad72N4YaKadueFjof6Vvt0uFeH5dip5i8OwO5W2qz+BOM0IJKbz+JUdzqqC37
ocTpmjX6nn214RmOcxENCskAuKprNTfNzVgnV3Fo0SCW3uTZcGJoUJCnbAyqSerHucvoUNQbK2Ox
CYoQDa3B2lgX1h3crIEghPo10M0X1cjeybrKgkIWDmHHYlPRP81WeWgT213nef6Qj53u625/O1MF
u42t/LmczaNQShBU0pACRM82J+vakPWeOJ/UeT1H9RtQTdDHgs4pSX7uRX1p/S97Z7YUN7Zt0V+5
P6AKbfV6JZV9B6Yx8KIADOr7duvr7xA+dmGX65zwuysqKqICkoTM1NZq5hxTmWXCCWvefnqude2h
clx946roWkrXvpy6HlEuhY9n1Ig9cWJB2wslxDpyH1S7vQ7zFv92qaYbqZK929kJHPtQfywt47rN
WuK+Qwc/SOcPXt1ResdlSaJEpJ56PCFL5k+v/SQRZZqsuGKt93oydTdJkrvkrRkQ7Tugdhm0OuDe
wwtDwGwhGgLHVH8wT9FIqdI31chwVgs9Xas+DTmbFOngBBIYDJMI8JTuROCSdelFFGpUQmF5pADc
ysx/zHICNTMFtiLCvwBZLJ/Wso5fLDtnHezH09LM/VVg6HJj5XW1LUpjlWAb8kLbSleOwwaa83Ba
53H1WDvmKq8VHPRgD9kdXmFitajNIxdE7wDzsM3cFX0EkirQ51cWWRMrnJ3bKtAPsR3hdcpiZ83C
HqQ3VueF30sijLvuSwLJehWWrb7TSh1bEi4PRDRBvgnzHGLgkPHeDFJZgWkkQZ4t40WgYWgw236r
Z4jKhHDQMJn9Pkjdne9Oe+IiqREFi1Y/ma7qzEf/a187im0dpoaVc9jhoWIReVl24U2uMSJNJpGu
oGXjyg2VehHr7YtVkTZFhrOzHh1G7VIELVEbhMPjg7xsIzYD/qR6SRH167Kc9mgRDzDAPfRUlz0R
RUudUGRkeez9I7s+uWb84mB7SxsfZYQNStWyFBOAuglw2ZFL3woYkE3kQqrqcCe65KlIFNyc0XUC
rGuhMg9a4vS2LmqjfE2RegUgtUDCGQgVI4MfCf+DYGb1oYxYA/dddPLdDkuWUHtvqGpSdv0EfhfC
x3iMg7sqTOF2+w8WW106mGRpp9kbwJQHU8coG7an8n1u22YvPojXpXAZorpZekeSAluJiKmsRujq
pJaqp6TRURAJBRIn2ac1lYjBPdVUeg4wIV5Hp4GP4B8copvBi8odCj0grokys2Q/ZxLaak7qiyUz
MiViNNt+vasasSeU44tSOm/DyB7bQsqRV8rGb+JX1hSrpivadWOXy6bkq0Oh3KmxepiCfRazNO1s
HErJk9vFz2HD4dsrKmQJewvyZv7UOMGiseodhCxWyAlvT4ZkAHH2fpz4POOGZT+voWxHJX7BwuY6
igO+mQOcsNNDVKc4f4m1w/sHmY3K7ZEKbBuNxaqi0mG6bu0mE5l9V8L8q5wL3x0+C50fXo7Enfjx
PkE+s9az9sXAyxjgwl2UuIVUO8Mxld8JnRuemweorQUhXo5+YgZ+Ww8De/GG2D2F7qyM3APZGOx7
cPJ1CrJFOzYJpzWyNdwMFuQknluChF7WnBiMCEdcAftBhDKxisBoeZ31FX+ak6NVpe4kBiUiwQsf
eQ4RzNbD3SDjtxBf9yoYnLMU8bqY1o0Ldd9Z1zL3xHhwlOQmTEkSBoiXLVjYrWPc1xfSppDRp2fd
GVbWEDw7FvngGinTig9ctymrJ3Bo8Ey0ITa5Eff1nsvnJpgHGyyS70Rp0zgCn23qpbPRg3SjQRjq
ief1Hb28yt9HJWoeWVi8DFMon8O+KFR6x7ypd8wbhjmXfOidfoURXpFXkncnV81I8QyfOXdAeHTk
OW4C8ZiNyZgoXG1KvZ7cAGVBoawUO0YxnCjDKjIKz8iSzvP74h6Gx7TMnZ6AIhmIZYrKUa/z64Hk
7lWjw3iJ689GZJsAPwR/adSuGEltQ9t4KvPxknhlhI727N6PgNNRdzWLJDHIYht6QfI7aS5ZyHCB
npVAJG5pvH/ze0dt3rkoVd3wUNUEV6al4Y2tferb6Ox29mHO1cNOHj8JjBHEkBzEJKluivKZewtc
KXKIkty5baLI2LWd+jr5fb6eYnwKsnc2Rt9d4qrFnhAiCaWVuKCuGTyYgl9qwsp1pPsL8ErTiiCb
A3G1n7SkX+YtBlgzK4YN5+7BHVjoSJObHdSiTddzRccaT0iowSIx0uaiwWVeN5PFnCZelxrVriuS
x6TCTBOek5K8O1NeDKO+NWtYRq7TnwhXJ7q+bM+ZGX+BkMVwV2AjltGpCNSTCb4hzfuToZ0tNEPK
VHl1rQS7Xi0+J0OwbcPoobXb29ItWGhM6tKp16NlX7O/oQvPTrLSHqNSbNxG4WTMgu0k7Wkbdykw
wfg2nDUGNrXgMmzLaM+p8GhkRf85m3oGRFW8B16MYxmeAglu03HoyYivLHFf9iobluRqGPKnpHSw
JjctnwT3ITWLQ6SHn7MBMdafhv69oZ/3+f/e0AN1+b+L1zp/qr9Ev2rs50d/b+yNvzDK0X/jF3hP
Tvu7sRfY4FW81AaoWXuGyP89GDb5isv018Qxp1v2x8GwjogUrwP7ZEtnpmv+lncemeVPjb0lQPKZ
hKoIFlaarv6093eRfJbMF8KTAiHKM/usXTqT1LesqKtH3O0s+tqqremqyDCxFzDkTJjaQ9XEpGIm
4NEnq1dPea0ZXl6VwYhe0lb7q3FwCvlE0C2ZSF4wEpuiMQDtY40LnHp+vgG8O7USW1TTFlUqu9V1
i+IrvHZaHAm1CTSSbGqbc2IKpvgm4yi9NRj5agBmVHkdCoexmxbH4aosQZ0UbcomMcQ1lJqdfZeL
njuyRJ99VwKrHjEil5NcGDkF1oLBQr5Alg3zJOnLBx3c1gNKBUBwrqDhFX3qnzGCBA6yxzg6Uqs5
HQUBQekLJ7L8hVto2zxQs0Wmx91RVezsZFt5/wlPRLik+NYM3AA5Xn86XJrIynnUmGJOkOrdYrro
YYAjm3Ii0wYRmtqfsBLQHE1tFm1SGuuXTFN0L2Sc0OQLqQLA1FYddVvpXxh6lxRbp9fbtVnzhgDN
GJX+oUUGJpYJgP6lEYsuzJexG/qTtZy0fppvhwO2WnfjBg7fJss6WNtqO101dR8/6m7eXLl2Y6/i
1BIY6hojvMmG8uTqTQmnW+HVvMyVoFeXQTP79gK/6Crk5HQaZyfS4ockbbQbCCwsnZmmgJYdcjVK
N6rOMX2hOFT324qx47jL7MgYXq3BCV7RoNhrptH+Ko3CorpALkgDrzTyIlNq20ucqLlHUF/WjGAU
bAtYm/+cXF9HkUzm/v3kWqevef7PTZbKg74dWJqAHAXjAyInNqv3meL3SaRGBrlj8C+iJCy+HHPf
NllI21Wmzd9l6nzp2yaLDEhn5mzzH7a4MyLkN7y9GGh/OrBMfL3I3fmZjmMY84/7Yfecy8bWxs5x
z1qGf5GCcyrJyZ19NbqSh9rSDNk+PSL7rK/I2cWFk82GnAlnjhW7hzpnGE+a4XOCVlPS5pDGF6yk
YSDOK/V0nD1I0zYf9WrZ9e4VA7Y3qHDRAh8Mhby2VkC2BU3ElKVaq6DcHJBuY6lslCh9NmsYgnNo
WxAPV8lMgbPa2mNStbFVIqgZ1AE7HBaQBInLAyGH7uuk0btFM1tumClznSo3cubO5Yp4jjPImWQD
bWvHvgekxz5ueKGSO+KKSs0Zhmg9uDAUCK3Dg2kWr7V0vGRm3sUu9Du8INV5Ql+K7CJfaL3YVKDy
+pmZN8z0PIIma2xkEPVU3eGvJcvYa4rpM7POozMz+IaZxlfPXD6NYWZoQL3UiQmpZ3afqAMbg6h4
csD6IfPvvcoAKiVA/mWg/4glZl5RnMeZCagQZLnKZk4gXNTtMJMD3QgMnUDB4qmD0V8UM2GwnFmD
TO2yBatSJCryKjOTbQOc5ALvyheZYUhWZ2ZhXfjo01F96IF8wlfHzUKIt1YDKQ3wcGjlIZ4JiP7M
QuzfqYgzH7GYSYlYRZlrAk+cgChmSj7c837i236cMutoEDIPZAH4Xrwjb+l6mGmMNfa8xkPoUYUH
Rcs7CnCCF4OLMmXtCQqhTVwQC4Fpb9PGMahV+3AdkUQ4wuWs3COLv3BnJ0W/Jgar2PK6lOrSwAe+
JnHdvfbhELoEjIoRFXnBILM3pbFGAW2kXtpBQxbEF2B94PZ6gMDVsasFiUyCmXr/5zh8Pw4Fao9/
Pw6xKcIr/dL+80ScH/f9RNT/mncvs4/UctFgcOJ8PxENvKfk4bKV0Gdb6N+7fWSgc/QftlQdfQxG
M7Qt/zkR4RqrqtAMFvzfNjq/cSL+qJHBrONohOu6jgADSAThz5KjtoM5aRfmcNmpu4C4cgmybf3h
RfmFrOirzPRHYZFKpi5CBJA0FnIcStWPgh8YeTpxmE15qQ+IMZsLw2yQX4W6luuXoVpXXP+FNSZX
UxFZzikMQ/ueE0JLrtiQykWoZqNGlnVJ3GixrcLxgG97aenRcooEo8xJZ6+aXvqm4qWFspWNC0yz
uG5VlGgyJMansj+NUbPxJTSEMBtXedQKzzSqnVIOZ4Dzz6lMnhRwt11ZbsF+3mNPYRARheegbZaO
lm7tsKnAFdVvTGXWZRoNXsqJtY4qo1soCMEuWnPYVD3dcWfHtwS7VXqz4M+7Dyx1q7po5KhG2MPn
r2lD8Ic/Gvhasle/hKHiZCVBheoIpLepV3gkD35rD56Tz3r2YTbI2+rz2OQ7HP4ZY/n8phfBzte0
23rk6tai9nOSwXYL5fDSWMZOGnW+quLymIfj4LmVrXtmRCXpF/V1HYEgtA2i/AKpH7MAuVzb6Ffp
gE906rt7JdZJGAdox/0bOK7WvsV2xdw4Yu9uw3TLC2NvD7WBiB/AYppU8cZS4SAz9QwWY9zly6ik
Rhc9YAijnD6LrGDvw8qn6JRP5qDgENHSmyFzodI4yYNS1caFNpRbCuf4lLaDWODi2ZHEQx6jqKBD
OMEhaF/0uFi5HVOtbNAWxlgxW0rzz/4EStqvwPoXgdjVTld7bW+vJ9t8KSO8G4Os951tvDgNMD8q
8Tcno/EPDGfyqta9waL1ZkTDQq2i16hivSGaeBNqNByClPoCFUivNc8ijlXCd1looRveplHCLgO8
fOTM/i4dOaDRtMMS2py7MPPuEl/CbR90cHfTFutlWM9bt2tUAJVX2EG3yH3cJwZ41J474DSfzq4T
X2uYQnF0MMxx+8+JyqwhktZbHLuPpiA1AOmMvtIRYkB6IHkrz0iMCeKoXHCu3Aayus4NsyTSUD8H
qU0aThEOfFjHxz5O+fQMFXgkwJBsUqYH4hYQs3L/7uP81RCDtepr9TYJUiYsgHtGhXD1PmiZvCtv
reI8gG3GkgD/wdYF+1REEe4EjdIqtGWry2RbvssgB6OufJKLWbahp65uzIBgauoKPuXkO98mqu5u
zWmMLy19uKkqjXtQ+Zrhz4vmQJy0KL+gLmKhxngdhwd7gGTAd45E5bNhtF5qgWlorLvcXY6IIGR8
yEjLjBTlU93F7lxppBVg3gwTdw90i7zrwqvdslg0qWleMIxeBHqJxFQ/GnjmqcUU6rBmUXJtzoin
U1PY96FjvkbqWMGeZIhlTGKVpSXYc7mnnH1Sxm4/tCBAze4h6AwoRJP+qc7FEurUp0Lo20EonyAY
e5YS3GkJKcAkWBRC3btDcIku8VJmIX1guwKCsiC37wtjppRpWuwlTZssAfMuEmhQdlMjvWA/UZf9
ycYEXFcJTE3ceex3B/bbDBhjR2HLpJxlW99lcFmWvta8NqQxatX4WWlezY5PYm/ZK92ACI7iY0ix
y/kDRWzcSUVZquhz7uygH9dVVWuLOAD+ZTplW54SXb/PCgOw1ESkYU+Lukhjzq2LpDBKWiuQ8OtW
FvXCSanLHD27S6pmVbfD/TCkd02lPODD06/UzpwuueFVqzqtniqNNKNa/zL6zrmayGRMXUQjGfN3
wB3Ci6reWShxGq2yKXNvjMyRxyALr6MgeGZPqiyGpEv3NSMuis0W9WvOhowAi4dc410cwpsoIj7N
1ZVd1zf3nSgmFiR6tvJnRXPJ7wdrmnsPGBTOgE5JLa/pyumstI5yY8Usm6R0h2VQEwU5R2wjgWoA
T7Z2tuFqdrwqbT3D6vtNL9phzUy9ANNQyDU9aki1BxghaNk1sjwwN0Pqig217CV0uk+0wfNYbR33
c4Gq+OSQsv2eLHFDqX1fi/E6oAXf4ja4L1x4lMih/K9xEv+qsqV4+En4qSLyhrBk0evY5tykfbzp
WmlX4uOoussCZo0lzrFzY/Fbm3QL8f9Swf5YRcxKWzo9ZkEC0Z6NbGTuuj54f5umGFsyOIZLh+i8
5K4CUKv8DyHr/3qK+esfngLuRZoOXTpcllyYDJMuwv7RKK//e6nyyydBTsk4DW+jNlddH5+kCZNk
jPNhuNTrm6o4jAoxndv//hT/fFt4qT48xSy1/PB3tOyeAmGMw6VBfiGAWSZmVCG5/RTL//FMyHd+
+gD8+Ezzb/LhmdKwNzMLvN1lJYFE5SzZtV2XMfJd9tluQir43/+wHzWiXz8DeJlMIJ+6Dkpl/nU+
PB2ztXGqWzHQAd0LUL+2dROEe5n96TW+QgLm5NB/7zXO9VMevP6z05gf9a3TYCKM/Eejc7HfKTO8
4d86DQRiDEtxA3MamKbxkaum/+XOg2DmyyBwoKtxTnybvejMXrChMWP+KhH7vdnLPOD58IE00abx
D/R/5rEakICZYPDxE8J5KKPBVn20nFCy9ClNXNQhrr9Xxkrd53Yzb+JU2T0acbiLfPnAlQIl0I5f
9N4UoFPNAQlOmEKnqXQ13qplVS7HmM3mgtFpcRfUvSUXJJoTRpAT+0ewQwROemAj/gRSJXplgeSz
Fs1NgjIbopNyKoWc3MZV2EVxBXKygf2c1ka/qurYtXbSxt/qEjrU0GiTXhqVzEpiE1PPSDiJ4gSI
pJKMiLTIx7qkEW7o0JBYcoac6iRkpT29fiMxxYZ1sEs7cS6ngpg1lSyy4UroE8IUd+PrygH45FYE
4XaMfGKk59zuSSjmgkTjztO4mRygZK3VUrmM+yr+VPrOvsVNvgCqni8CtxGHHOjhAgx5spQWcLEa
v4pnV915bJuzktBcDAHcS2nQDhU4ecOAZpXIxFYpkUbL+i3R2+soVa8xOmYmt7Y2v1QqjLa6AXQB
pl1QWuE9a86FjVbEJzz82BspTp8ifCP7AcppCSddI6y9A2fgSj0DPmIOq9KZy7pq0thxZeu84s8t
keqhk0XBM9mWp4k8PPeIMTZRGXfM2ZtVS+AL4RsIVGFBoojB7OXiAy41HMeRcoQfueotgfi1K43b
Bv8e0Yow+chbXAHwpS0pM3xEE37v0i4fTHIKYqZFbkSyDqndi0bW8frDpfiLDven24bBrmWGD+L5
s7C0EP/34wc7VsNBTdwmPmlqWK70dNCeQjlramRCXMz7c/1xUQiOg38//7ZZ+VpHT+k/T8D5cd9P
QAYqs3UKm/z7hJkT6PsJaP2FhF/YFEPv1Gge9W36zICG4GSV4QcPtN+hk99OQAIdAaSQnsnk2kUl
81s6WA7Nf5yAzJ81jZWZxrHqzgzLjyegHVZ1PiqVPI462syVAI9uH0sbT+ubOk25SavZqi3djY6O
btoUVpIQPcgJRQVnGcknX2O77eDC39Sit+UFtPyXQGUVX7j+Ewbaa/wEGdGnSLyrydJWrBQD+n21
ORaW9RaWKPCTDHKhyMkYQrQEzamBAIwa3cYGIMwDQa/ZVsnTlnEH6i65IGI4XMRxUJ9wKSA0RLSB
4jDZ42zPPVY8clWbdPOYQ6B8YE5d4IVl24fe92T0cpeYRA4Xrb/PojRZJYrLLpzhusNsAaIezku5
Gl079PSWNqSix12IxC69aqQjYG2GV9JQHtgsnUtrzHd22N0Q/KfS7KFsQEFRcvhJ5VTH1suQ0+hU
hS3WhRm/TXH8iEwCqoLRi2xL9rLPERrLW9RBPnK+8BhA09p2YfzaBpP2QNuPchItL0dLWnl2k4KD
YHoKr8rN3T14CbG0BlXZ4fNQD2aUt+sIn+xFwDbuUNv2lQOL+JpJ0HYI5Y1SItwvDGCYRAdf2RYy
L7y98LFUw6I9Z4o1sblEgDMwo5eJchBhN0P+69B86MsAiaqqAwT1pWjXJBhJxgRTXVv1OeS96wnX
io5SMLNAcS98JJYxP4kgSVeBQeW4hARoTI7NLdxN7UbRujTakoE17eo+d88RGIqKFEkHKYnLi+Cf
XVQlqDoS960XbnLQENiKIJuuIRiK0ftzen2dFDPW/S+nVy5/oeCfR8HfTy6T6FjuuTaA7J8U/NRu
AAbYrhOcYr+H1X0/uSj4cIZptjWXVi4Lrb9rNxPgIfNWB4IAhKff3pv9aHOEVACMX59/B3DlFHH6
T82EHqalCHq7PWWJRbZpkUbeWGTM0q7wFs9b4ujrztgIe5UNctLjqjFFqwkoFZrMh4UhI50AByeq
5Bk6kInQyOkGs4aPM1oV6UhmGupQ+ZhucWUYaQSyTPHjXvMU3y3yx6kmBeLS7jq3zj2bTChjP5rm
QC61UKq4ebIneO0T9BEg74ipxposCgaRYb2Om9I9hpUabgOC9C6qYTBuqwJSoAPio+oKIvKMJGa0
Wg39PpKonZHd5yc7TbpPUOKGZxU2aAmEKQyee6MeV2mjZofISgpGeYV/ihXTWAHkCTfU0Vg+nUGX
uOA0f4vAbzgmuT2cBPwRr0ZiXgyYB6h/tPqJyCZ4oi3KskWIPnEbmnF7ow0VSrQwN1+cKXXXfZgO
TEChIMBOWaf40j45k5oSOIIGP+3U0UAhyjbMbFuE3ZYqT7Vax6sE7sPKKAWCKJJOxcD4GdLk1Leb
ylchhAhEG57rhtojtjiyN6cJd1uiddpzwoxs31VNsJWsru6px3R4tRo60ZLBzeRk3bnrkhde0nxb
UQ5di4ZM+0UM7uJoDIhoTbsITxIgohdIMzqZUdOsXTLSlvHkOqepYlKSVTkTGQlFMmQJ94IALT0A
bWnuuoyA4IaUEXBgkXYEEp0iig+bBNm4z1h5rKwrBqLKirOvudQjvfQo6Ys9stJ+3zTJDnXmhA1e
cVaVKce3wQjTjVNmwW4sIsxOZmwrx8i3VLgUDXiHQqJRb1uO8Eo6OAcDdOskuE4Xo1lToE6a6+/S
WrHuGOt+hgamHTQUCWd+fX+lJMALCGdBvlrX6llOIVZ+6IPbIEKRWMCYYtxYyk9h7Qxe3wzVUkbd
uAz6yV81IMuCPyfr177YYNDw7yfrdQET8Rdn6/yob2crmgTQeAL3rMV84kfeuDYv5xzdNixKwPfg
rG9VIXg8vnVWNf3n3P37bHX+UmHcsYX7D2n296pCZ57E/b0ew11r23P/gIQL173G6OnHqtBwsrg2
Ok2enTaoL20MEZ8iRKT3RWpoOzkkyQOFgL1y2l49kj/kX3Als6XACXBnuwPafrVI19i8Iywwhb+0
lbZmz1yFS6dST+kcmNvrwj+Ypltf6diwLvqeSgT2CRQstSjHjeK4u1EjBYBBcrsRpZ68wE2CqZyT
xavKiR152YyPWRgGu6ICOW7MCDWNWSz0VYdxXC3vXK1ahKn+JP3M3nVU1SvcNMM+Twp3WRfDuBhb
1yevTj0neleg9MbX6VrQQ5ltI9SEjlS4ektwczy12oUTx68l/hXjqs0zr5qm4A1V60M4Bv4SCeiC
xcEuLiaXpVOebDWMSAABbe0yEMG9mkhMKXrNAZhfmUWlLknzVtatFUwQBjt9h4vWXpIQsefO0Wyj
1nA9NQyNdZLmxrLXNH9jscG6iEi03lUZNhO/6K+mmiOyTJvZpWtOoGnMZZzAxNMC9xTr5ux75dVR
OiX8FDFxIMJYiHPTaESR22y4qrDZdVr8CAKe5T7tNcpli5jOgMVNUE0tPgLeMIIfa9T0hJH7ltjE
BtkOc0z5SF45aacEl09EmPdzmPlIqrmSEHRaqWiisznynAp4kZCBziL6KrMD/SIZx7VGSroWD617
MDASgalPz30lLgvNuVODxiYMEH4oaet05CaNOsKQOYjdmiPZ0zmcvWlMEhrzDGeVeDXnAPfGGq57
gtiIa+sTPKpoKgjGPtvkvufkv/fkwMejeyzJhQ8FAfHTHBVv+RaQ1XiFY++cTVGLtiVbuQazE5Ae
R1OWXknuPNOp1JtGYw+6nK+QTZ9pNWYYwupdPL0AWiju5W01x9mPfmlcFDM3rX3PYq4SAsHAsljd
C1UJ4F8dBe/KL0YUvnnJVZFFyUFY8O0vOpkWO3y8Oqkv9XgILC36Onr906QLVvf/fhjvUbX+okHn
Md+OYkaUlkAIiGQUTf7MJfjeoGvqX5CqQHHjOJ1VqxTH345iatl3hYJAuUpR+1HPalDm4m9VsYBb
zDeZOf6GGMKehQg/nMQuyxKyqug+oZOgWfjxJLZFGRBSP7UnFI1gI8ENAjgMtZRRmuGu7d55wpY/
rKo5JRfYNhfoLmucDmOUPWsZo3dZY/gucUQPxBwq7mK82uW7DLJk7ztc5ogjOWCjGxwPEORCfUI7
2UwNHWSInjI1qahz+MWl6lM8ByyHABDnc72tGVO4at9Lh4oZZLc1fCWDZsi9IW0eshBQYIlKdtIw
T+id1UQNo84xEjvyE6fiOpjoNJEs+DG7WxhFa1cPUI/ZuDTGvrU8Dul4rSSyWg6VL9Z9YonlgPR2
rSZWfccdpxObxJXWtNSbTgae1NxpXKYd9g1GGL6CtskoFdxm5WQdO9mEhVdqhXUdWdbsGrdL7BzI
79aiDJP2OtFTmJ2wzdPzyPBWW1c2/y+DprifBsONL0p4hjGD1rCwt1hLdXX5pxP92olyTf2XSzTK
g+YX1ygP+n6NQsQn/oRrUVj4JX+6RglmQT75Lh2f12PfLlHrL3iecxFDoigBJPPs/9sMbe5EuWpt
jaGczQTut7YI9j+KJXcu1NC3MyuxsLrPl/CHNZPw9RYklm2eiE3S61ss1dDgF7nMhBeCXAcnjPAw
OjZOot+XqIoQWg7plarohIPraYbPbGyjRcsaAguJYzWEJBU1xAubGxdOy4YLqmn8HdHbmJWKtJiS
qwLTeIl5HKzn4zhoLWII/SStvPKM2WlOACSu3yp8Lmw0fdrsR2fUGJLEpVD0kLOdxwkhHon0Bmzs
ofDvaZ4wtheUOtJL3w3vCXlG5CPigu+BmuCID/mp1qIgNDM/GookGxh4bGREPtTVdCBNC96dn/fl
s0ZuVEBs9aK1Mn8hynwFAWRYFFm8qWJlE0HoZ1uRP6s6Y+8UTKqHw+o2CpQX7UhQ5rEwQM/qNi9P
OiFOSP0bUTlXWaEuXdmv4+lKtNbt0DefSbVZGrgr3eOfC/HrhchH998vxOMTYqtfXIg86NuFqBHd
O1+JfNxnEuR82/s2zdb0v96HMVAVSD7iIv37SgQFAe6JK4NrhDuYzqD725WIYwSdH8RJLBuIn/nS
b9wsAVn+fLfkYifW0dA4LMhhNOZp94dLkawmgmUUItP0LLyr9LRFiyqx/5dV5YkpW5EouhZ4Hk2p
LPrRvUM5EVyoHUu3zLVuYgc4btFuszheogLxG8+2sfIvo3Aob9PCZXKkqVeBktfbdogCvMdprDxr
aZFh8RN6H+5tvwfvaOYqBSups5umBV2QERtxpeZU4EVnXQ+JNRFLIM/gxpm15rpXhmTdVmNxI6Vy
h+zjVi/M7kLVgPao9bC1FAmZ2NkJZHPYs19qIA9mAgklACtdxtql6yh3Wt/kZDqC7Pfb5NiXIBs7
P3+TNaMVrA0r37ADT6szHR3deG5r8VSlMaTpXoe4VYRfqiGbvFb10bGNzjJQW+ydRShWBP/ZzDkU
Q26HsVAW4RDsRWefdQjegMz2EyAW6hMbD2fIOETr93Vffg5V90ExbJSEqX6VADVuTaQ5EWOMOp5u
23qAeSTKk/DBNJXFm6YKr6+jT25X9hcEoR3KINuKTN4lTbdXiv5NrU3pqYq0qab17mKCXAMfO2lJ
jEs2VcPGUA+tBZY/Mlk1tcPpHDpnTZZyMckqWfQtTHCw5Yt2lpcXMUCOjBSspZMkExtXuMHUXi+h
JMpHF3KNUUcFWiTIaNC2rqVvuq4++ynTch2fLXO7uipBAlpdtoZvgzIbS+2WRnFBZ3KETkTMYwHs
KMz7laH6zwkymyQdYTJ0oxfn41NgFeAcMG/CfEQpOOsCw96i7lKe1JrFZd3DTxAJxOXGfWVz4hxR
4/ZLR4XMoHWhBe1dR9qWz0nNgHu0Niv2Qgtw09nQ26e624Q95pzGSo1l2tuek2ViTQBSS3BjZZ26
yFnbirGl07yD/7VRO+1u6IlJDsJG9dpGEyfYF/GhzNn6BAzUlqGJNMPvwUoQdWQsUH36aymEeipH
XbtCiWlvoqRfu2QvyiHYZQnhKmOlPbH2Mj1WNtGZkDSoGQwlpZOturYhuVeS3m4O+bNsipXWR/dF
gInARXsWAGVfxKlMzwYxTtGY/d5q1MTWwWlDbU5FPxfxP802Sn3EM6C44pxmt4nxBXTlkG0/nJuX
X8vzj9jCH5dqCE9QFs/UQkPljMRCTuPw8RiS2MYaFv3E6jTPXXIpy5vc/RPm93W4Jngx//0edXhK
Xn9xi+IxP9yiiIc3yDX6z83m4y3K5R1hiqbP+RIfFq4u4CEW5aTs8UWVhe3ftyjnL4utBc0XsDsd
x7X7O7eoX2T7zhZHKkYH3CSyk58RkKwa6Ryq3DwnfRrsYW1V/vU4Jnm1oelP1oNh6Ni9oexWKDZB
fqdbo0YKbDLj2SQ+6uVMakimBpXFZZyS5Dp25HEatomiGx+9Y6ItGGLwX0mQ7xQ3No/2nCDHmGtl
ZQH7QXgx7uS8mnGPFJHr1YP+NWFSIVo7J0UlJk1FeY9VmQNWAPGyqSNyJZ3DV5o5hmXAt56SyzIh
YR204FM1B7aoc3RLo6G3zUlzaSdxcjm8YBiRz+Scp8rZogi8BoOzVkiDUeZYmNwv9hU5MfUcGEP+
0X3aYkckSSbTzNsgmi2ODjWrga+RkX7wwEh9qzvlMlb9B3AbT90cUCN7IjqTltAawEZEwZBjw16q
X9Q1lnebjJtqDrtJag1TT3qqsJjj6Q+OFbk4Nfk4LWEGLS80jA1yjYsBvJhf/j97Z9YbN7Jt6b9y
0e+84DwAfRvoZDJnKTUPfiEsW+I8B6f49f1Rdaos2+WqLvR9aeDgvByXnaKSmYzYsfda38LXR6hO
UYmdRcoOzUbs1cTueJJk0gyPulMTyWM480GS0eO28fW8hPbEIt33S4xPswT6eDOl+hLxUy9hPymp
P4xRnjNO0QwLKt8yWrmJ5hx0cB1/IXq09eclPqhk+yH445Azkt4WJAyVNVFD4xI6lLTtQx3GZmC0
b/0SS2RnBBQxa2V+bdlrehtvyhJixMp0bpZYI7kEHA0kHblL5JFC9hFhHdc5yF9vgKVnojZKRe34
VgTlcFqik+ZSHlyylBxGLEG6xCuhXn02yVuCBfVpUuV1g0h1aLXnsQYP0pLQBNUaFM+YAdFHbFI4
8y5b4pza92AnEp6mJepJ0SzGuXW0SUmBAuTH8IdcKId8qJkSs4IhsUQ3JHb3MiDnOzFEY7xcLHYh
gXUjX4+LiYj3DxdpXpxFJKziMhqwyxFf7zoQkgpWg7WqOxRrTciLs+WOS5xNqyQEZVqKZOMpbN6r
MCP9i6NOvJsH9Sx5GK5nN3W2meLC3WfSRK6zfjCM1PDBSKyMhtfIpFbOaUT70pnUKiAqebHzNka2
yrQZ95ORTHvU6dbKaqrk4LqTpC9jjQE4D4HdA+KROgybEeaHq0ZnMC2Ia3XtwiBmmR3bu8YAGK27
PL1s7BoHsPbILHK+bTUle4ZLCFCigclvMPjWwrYOXMEXsrWNDHJCtBpMokKI+COLmMniysW9sy10
Mr+cEjCzNvbDJXghqMkVmTfKfJFRSGQeuvoexcGqzxGc60n30vbKVmPXp/pq96XdGxhi3INC9/Og
Rbm7ruqUMCgMIJ90+k4rCxpZ0EcULeZymCtjB+oJAMKNUucAs4RUvzSa/pQWRbjxSEMLxnZ0t6VE
ppZlubWtCqIPOiVV6ek0FWXj8vmGdkEuZXhsvHibj+NlwhPljxDb4TFexyPvWlUsMr4pdmZjmxSE
xlUeNIRUtszlPNefYgg2htvzCVE6QyrZAGqbN0VZXMdWYhLcAwIJbNTRjejlkpG6TazsGVjGtle6
W5lRVOY58R8xqOdSyy66vsVJ2Rcx5ud2G9b1zu67t8gIF61e1a8xd/PAoofXL9ypuCu6ND958XBV
ckfRWhAsUVQWOY8QOpmjPnI834xmfYQ6+TpVuobLoDiIbGQCp01bB+rRv0+x76fYhfX66wrh7jX+
XHz+uUZYXvVHjUCkASoEVKcoSX9Lp/pYI9gM5fBAsF6QUPDHMRaXG51gOkq0lX7zzX2rEUgCRifB
/A3lAy8i5/EfHGMtbZEufNf0pZFkLfHBrsfM5b3x/LF+JCjFUHN+jfPgxVm3Tg3jPrIgDJUlroI8
or9qoslUllx6HKLTSJQLZ1A70AbvIAiu82sG1Zsone9cpWq2fUrKTqmhLahsktj7+kukT5q2kqIn
ls22sUKtDaV/6IB63hBpPW7t1g5PsTnb+3TCQ9LoBqLXob2wdLNfWZEebyZHexFh96bCYN3VY3nZ
EleYkD4PoSmZ+hsW6muHJtB1Q8QplIWR9TkvwcG4POace3guelRas4djoeC3cqdsk0a9stNSSCFp
kdA265OvWok3GjgIEceiTIedTbd7FdXwbgVH0BVcRO0c6mm1mvpyyazzyp2jca6uubxM8nLVwj3g
KtRDkjVi1WINxpwxkrEbntMqJh5V34mWBARmNp9FbjRHO+LAW4mBSKMwvaksqDI2PmNFxalrg9Ei
GXzeSpIDACKB0yGCwG9jOwxUV7mvZXfrte2ujlV3b0Gswm5LToDtPRqN86Vqq8uGHj/+3viAyO8K
JsRdNCwF29iuB+RObW3u1d67sLqxQ2WrkFdQ4uqr8+opHfODXSbPUyo6f/aUtylyMXwJb5Pkwyer
9F7r0mn2mLsSPy2FywmV2zLkBmsisPtTgtB5hf0kgd1QXblz+pCpOOrGAoJsXlpTwMiV4zjBBivZ
0VsbCCG3J78ydWBrUQJ7IkpiAhObh4ro3E2hEuYwuTY7lzrdVXz0ea6TEpQMqgiAUgwL4JJMdrO/
qjt0cKozpkErGYXV4olh3VesfuYmNLSvdZghd55icSiJ9grZdDZR6QwbezJCX6L74PL6tO1Vju2E
sBUQ/bQGypFp7BU00NuIYbVvuBUPQuW+zam9Njl2GTXNUlxGTqClpNwzfHhj6IbZRp0xXLnIAusy
yzeJdJBzhGyOref5TcIzEk4VLvqKQKRQa3x6SBDk6Duy23lrAg/PxhDudKu8iqfybGfuXlGSTa/v
IRWG44XHz+xMcVs3I4hP0JxZYT86HkFpJd780YAjR1rXNtMIV8Dl15XiycmRD+JWAcGY1l7QOfAi
K8gaK5GWmyqrL3S933ZKcd9F/T5ropMo6mKn6Z2f6POVng87s4cP6RCCTZjbdC5ynTJOzZ/jDrGL
XcMAU0dnnzbOSfeKy0TUNF0NAQwK0E5FC4TZqgAAAIDER72XYOpOTnqfnLSifs5RuCAf6kCFaeE9
p4zHvu0gFWTmFv+3R0SYBqouNkm+LPHoI+JGMN+jETQLcH82MXoK2oHRDh9lyO/X1H1HPWWw9PC6
qMgnziP5mvyGfSjb16Y0zIC+F0W0B2AAeC8eUgTuHreVLs47LPRajAYq76Sf4Vp35jobqAuzRn2D
PnA0k+SULO7OKQdZldMPV4vkWdrGXYgQx29BBPqNyBUKRO3Gcr1nLUxJzTbKa12hD6NJl6zkfisk
eOumxDqkd8N1G/fbsNTvhrgjUVqhzVK7h6RFiRk6xXVOfAaRccohHvP7xBIIRMV0sGcC0qKc7KkJ
KjhM0dy3S6TwuUmvUap470oAjxbD4LXS5m94re6AzXDy07DXGkmMOzBOv7a1dY4qDSK0O8o1agLd
L6HvHMdIkTvhggEcgQ/KhgEd4SWBMgg0ZF50O+FE7nVlh0Tp6HkFfai6PeC3IK9JizlZNsW8NUYb
wKxdWZuwmJ8KoqHJyPnc0Kpn8h73vjsO0FyLe90aTsR/8lI9CczB3LRpFAyVe0zqlgDyUOwkXyIK
NaKALVPdzo72RWr1hRWxZk+eEdgkYMNLeaUVSneMgPgpCpyEp7Obex9TxjPnpHWY4c8ljhivlrpz
BKtpJDbmwJeAMpaVu8aJSR1K3xMm9Ozc1T0YG9N6zQQLZWLYVTDkzo6HGz64hJtnjAzqOu/cepL0
PHN8yPne0o7EKYlbGKccaaU8aNetRdVnO7LaqnP0mb2zpWyPe6JN5ypAdmifXbRbuDMtfdt27VOS
abf48MCpS+9ec8RzmpHe3S5BqB3BwqvcqWnBTmRD6u4LafTTtvXaDb/fS5tS6ZZu9bULJR7bFIZX
yaj1ssxAtoXQ59jzLkaCB6lMQQx7iBgEx0KjVqrAK/qvmFexIDvNVyMuYeR6nR8qYeaLIYQSaPf4
9eaYHEdvgE4kzFUIfmt5yho/dJlMOSpPWZ2UKyWpNlUf7WZIpkitXwwMvMQrl7dzJSE9KOkn1M5f
sLXQUi2KbRiChE+pvZG43GoWrdJmaJyDVEABipituDQzn7x6x080cES2onVnT5oo7Yq3TM0q3y3G
8wT1lnI/OqlGUgANqt9chbM0TbRnEINaoDQFfYnS/pzF2GPrSHlSmz68bt3ygtW888ILEwpFDJpO
8fM+dvfqO6Wi+g1Z0SYqnpYU36YM1Heuxb/r6Pc6ekkj/3UdvTDBTn3S/cf5BV3An+jZlpf/XlCT
BMvqQ2yrh9nkN9XvHwX1UmujV6M25nnBaPBHQW0sIgpe4/IXHEwZ734rqM3/dCmoQfAwSCK2CU/Z
Pyio+Tnfl9OLHoPV3MSIpiHJoO/3sZxu9UUzajsRZnTMT/oxMf9lgfmls9W0l5/xrWSHhua5KJGZ
YtHXg47xo9ew0CrVq/N5uowyZ1/GPcRWXU/bjVNMWCsme+REjtRALjmjtlKjP9CEa93qIPEqMLme
feG0jteB4Qqbi75V3MYv3oUMyzxrCsx3gYNK+IIMOvQbFWKmepfxiAZgtxFLLbKItiKSe0TssqWn
1gTdIp8w7BqX0WBfpYusos4Kdd0vUotEiUDzYzNOlW35rsYoWxm/kXs2ADfF85X6bqcqgZfPpo42
NudPgVabBeMAs1CNW2JOAfbWzdRci4nfImnkRtLpWSlT/GTU2pGSDu1crkBg9IgJGprtACd2RIi3
coRy2cfDg5UZdyRC3baZPEXl8GBbVA2uzUKZJSZ0RjOIzOYUxylOtCjba21PnTLZxxG+hasWhGxG
LNwJjDaVzUZW86G1ILVCMqcadezVQgxqEzvdkYtw6if1hVzs+RjXxISZND3ZD7TXOK/y9eyh9Kjs
dCU84hHB9hZ4viZrWxqhPDZzfRxCZTsV2U4oSbQlCbtl06F5J+ugGZOLYrSMICRXE9R2je6x3YeM
s2KryREsEiIfKdm+lVW4ikgiLbuJ/J24uK1acYwNyg5lVu0v85BR17ckTiFG2kw1X1UStQJwAxHQ
sXJdEAUx1Q1bBHN2LaX6yPBzYXodUiaB1q1lzmT0Tma/68rSWpWhp6+LkMRHMkMuGntQMKa0+yGb
5m2Vq6+m3X/FVwd4NLeLo+EVi/0fb8x1DcwW3sTCmtUYZdEVVw4e5dK2c9UvmRLvpa1cCs25F7Gy
zWM0C+7csm27wCe0kyzc66EsN16qr9M2DDpNAe4+klKW6+D0hb5uDG68VS6b9fCoSRpBtRWt6YN9
Arx3UamU2wkZZFauXkl+6KCVF8Ts0RnStn2tfNY77VVRpn1lypMRUuI4D/CZKlceiBpxNxbFSetY
943UsGNPL0PPqE244gh09GRRL0chIBUDIgKtQFCSkU4vmcK+HbUTiZlk05vnhuZggVs+lvTBLNls
nFi5c6fu3gTVOUUZY9M4ujIH2mW0FMEQDMkRGvqeaQRb7qA91Ep857rFvVJXK+q8jRPVb7ozHRpP
OUy0Uemj24cm9bY5lnjiagnoqDTEU70pbswxPfD+jhbZYkZP9sps5GRlVCgHdaOmxWpO2W5SCp3w
ANd56twqaamI5vAeG1F2M+E1WE0TGctEgrXs9iJeN0qWrdOlux4Lol4bHTDWyGNxGmrk8L25FLt5
OzD77SkkeMI4opJd4glmjk3ovhBSG8GJtx+Ujh7D0NmXYYx8McyZ1qJU7fgy0wsdZrAICN2J09Wt
G6GqmCSbsVlHA6xcTUuPQwUgt87GFb1ZUPd1F20yz3yy7duUT37d9IpcOwtVxjVy+yIEnxVMkoYo
p+8XM8JBajdzzCPn8RlZd7DKMu7jTHkyRyfQYpJcuvA6E9VLP3l+GqYAVnRKdEW9XdJwDKP+1PUZ
XtN0N6TizWnHM8q2dBMBMFkZY/7MuGMT286nalZWZEeTMq1B5wlHKGeiK91V6synLiSagKjDNIcW
1uhfcbNP25rTaFoOz0RTby1T1Bxw+k+dMDd1y8ecjehjnEf8bQ9WXz5aGuFl3pTeTvl8Kr1xJxoM
ccqYPkbxvE9GHtFpuhjCAptVSOGf2zdCyLPV2c9TbF1WzF9dc3gcFz3pWB0SRw6bwST1eFKXBHIv
KIlSwNPQUWLaW3J5OKUDI6FPnuyjboqD2Chp/Fv2La5V7mBOJAvH7btmSA6CAG0f8wSRkPGxCZlS
K0l5lSRS7Ko0erTmhumK2u6sRUZAOITSTxdGybsnQuHkgsdvs+igCevZq4d1KCu/djOSc90dxgRc
H2EBaweskausLbIa+hwVN3XeZ6q5A/d6nUh6+57uHcx+vu4AEfmpSdCPquxay/4Uqhhe5nxliuEW
NcMahYpEWMT4oEjiK9Wc3kIVh+4sy08ERtA15xiAxGLbhM0dcQqSKUC1GyJyI1yvmE+aZqxTXT/B
dPlkM4lSAUJhUqvEpizoGFWmOV7BmKCl3kZGkLntE4CNaKOo7lld8Bhj2TTHTnMiX8RTsbFs+0uS
Q0NC/Kw8jbXN9wUyZzCriOMNUoS/ovFy1jq6FAJ3Z/1iZHb/9qE++/upMyWIZxJ1alOF0MpiWPl9
maNlFnGbZahcpum9nT1k3otp/bPZ+U+XWCqtD/qamW+xnfVcQm1wlTvnvj7D0Pnrt7HM37+vpJa3
YasWtSECAeOHt0G3Yy5GL4nOqORYHM9SnKbpTlHWf30Z9Eg/XcaiaDURYNPtVX+wj0VVOhtONkTn
HoNOA96803kOm/vevBoHbWV3LdFfh/dr/luEbfAh/vVRYgMt4kvSffmzgwQv/v0ggcAM5BuwCCwo
CDN/EJhpgOdwQ//RtP9d6un8J8sCpmHv26u+CcwYtpMyhDOGTDp0Af9PBwkuj+jE4n+LnO1HWww1
ieqmYSv5Tj42bgh06V8Y118eJH748r+LU1S040jYPODFy/jh4wMm69CuJ+bL5w7BED0Z9EWrzvoK
7+fDB/Ana8X3R6J3hQq/67froHf4eB1O3XXTEul6turB19rT6Hz96wssiomPz9dP7+TH50trQFky
oif0Fie3ee94b5Uy+54CZH0IOCj63fBc97s+uRJUxlryCvk4iq70CoPNbTQuDu6jbUWByzYYmdd9
ejtCTJq84m9uxeJx/cvflHPtx3thJEooxna5FxTxEst2/dgPiV9p5nnkWEELBPjZm6Poq4b/C3rf
/+tb9S75+LDivd8qjRMq8EQVvL7+g8afOa4mBtWZzxwOEw1cSJufMtYtgSjAbOolLrrs96nrHtqJ
VNx+vNFy4i/GEpf0oCrSZxodr/S6V4eliXcYPdG327x40gvjQPQ8EHhdSbX7ySg4EGZeSnqCy9gW
mSMW7n3dzyt9aDaamEnRnbexPA82ssUINwvO7d7mZDl5V4V+xalwE/ZPHe2cqLvrIveC0GOQqqD1
oUroCCsRXvkOPawZ4H9m3VWL8NKmXysb2vZQ/HutPzlqEYxIxZqnjubrrBgYYMsjM61rcvlS9F5D
qVf3uG9XtUFebuXdCUzqlDKrdIDsZyWRuWbuzEDJLcygyvJnmCE4fuBreBaizSwyfxNb/fKpNJZP
4NsntPjhvnvwzR8eF1yksFOnTp7VrbEL9/IkHo2tu2/PGHpPWFh9BkFrz583hn9oD6TxradnZc8A
eqtubdJV098Uyr/8hb4fEP78+P6wR5qgU51i+cpy7KBMK4nI6VbNplFXf/3VXL763973z9dZlqsP
+z1ZX4Qlx1wHTmJ+N31tIj+haauTZ/A3D8HCI/3pUh8fgh+aNNDx8tbg9H2ODT+94pDVTz5el7GD
/e1HZ3Jw/vqt/dkKCJoINNQCG6XY+P6tMXOcHCc39DNYYBI8Xgblb+qYP1sAP17gh3tHnAbI9EjX
z92w7nHjjYrfTdnfvIu/u8gPq6w3MWOZXS7iDUfZHIR9p9uf/vpG/dmW9PF9/LA8zuzVkHIs/azz
bE/5uFLtGy+99OLpt/fy310dXSRf2qqr3sT/XH7yl4q4iiSKxf/6/o/db3+OXqv1Z/H5uz8Qp5GI
+bqHH33z2hGH93trcfmX/7d/+R+v7z/lbq5f/+t/fP5awBZJOtEmX4T+s/Zg0Zj+ujw6fe661z8T
3vOq3+siGqzo2lU6oQYV63t78WODdfnPv1dGXP9fdRHIXkSQeOyB6uKRebcZ/14XoVhg9+cnIm1E
SfDPGqzAG757elkgqdUR3S+bF6JX2OjfP01D7010O+zxDJq/c4KY0TlMSocElWhOYqJdwqOQGSep
OR2G7EHrNZoQmOsSsa8lHKRpsGV26kAfyiDF+SmDbESA3LDJcUb4Qv+UWXVet6EMcCQjygKcsJts
LfLePLXQxO3cdbBqOWOZ4TqcSQdY53U12u0KZANGsMaOdFmzVY1kEkm2dmhwfTRpQaFHrQxMRwNO
HhKGsxZ9RqdJzVxaY0NkWve5psT2xkEYhZmOng8TOBQPiC92kzH36dtouBNaCyAIQRQRDxwY8MZ2
MUFbByV085cErvnaiwByEo46D4GStzZoGwQOiDuI4yto8mCxsV4GCw6DlAVMS9TpMXKyyNxac/xm
jwqO1tJ9Q5vJVKiIisCp+TuIWtDIB/Z6fKjjMY7IWnIXGViU4EiAmMM8qlUw2jhMZXXQ3sQe4pCl
rlRUjEX0HVBhqzu3pR+ehMSsaO5CN5BVdKhbJb8yF2xYPmne1q3L18yR1tbIjSigNWNuu0okgdqV
NkJThxRIq8+vMhXObOORFlgPBBE3zRggQGG24xqvMeEwO5xEfC0QJUATp0NNw9phOVFecPhGO1vm
PcVP5W5jWGbOGIaE2yDqdIp06OhYAS3Lhe5sq6roDp6l4vdW4vSC35kRbmVXh2zEht2npIM5FiI1
Z5yvPS+0tqNXFUHXx9aqGgsCxFoT+FhPuEQpW35N13jKy4y2b5NGq7YFSoZsYMkuXsa3NelEPaTM
LXmezTVoWzwb0SiunQQNpZy1BizzDHYW7kK+kao3BWDciAE0J0BwmtMTE9U1QTiV2U7LGTxidvxX
AfvfvW7+/5dibrHb/XrZfMbq9vNSu7zm90VzoSwwdnJNjfmPh7vog1sJygLUK9Y+CAw4mb4tmobL
YdICecNkihQ3WgTfplIYmRBnA2dgxsU/opD/feu4+q1qYtf5ZQ2HkuvHRXPJfQD0xWHSWZZvfomP
1ZVoRx5oPZ3OtQiVVe0S0By2d0JHcZjqs1hLrazukkHLz7ooituuD9udomqcmWTIMaFHPAFdYcm+
NC7hSajgAnEfzU76atBR9QWK6WPcDC9eP9Z31YwPJ2vy6cqLIqBYRen4Xh9Wdyb5CK2KTVGQHzeQ
XnKG9M/CO5LkrUVOue0xV0IJCbV1p2n3BW2tXZ4b/TZFo1xb/d6YXdDVfbuZTLr+9kBAW45tw4f5
+ElR7ZE8W/ehlHpyT0hndRED39kI6cEpz0pYOdyCc6K54WZShbdrqgrNw6iTf15w1Btrh5U8MoD0
lRy2owgGBYyvlVmnSNr64tQjxso85Xm0ELSJqifLxiLqMK4Pam8SxhqpAdaYQ9YqNKDdB+7mRVUh
8IJpBt8BgcOqzOJP1mB+nmxvYoGoHpFUP7ZWmbPORZAWouRWmEAWjFyxV0apOTAOo10m6SQqdvFK
vneOAtc+2C2ALgTlPaeQNN0IxYo2cUjdWlrymQ+aIZpd30LevTTz+cWVyc6ghc47Mb6Gc3dFRNdw
YtdZdNVsJc3oXhIYy0AhlJdWxUcq6mndzCOKIuNFN9pHOWZflLBGNhTHBwxGZ3tklI/+QKw0CGz0
lPU9SDqLkfnE8hl5Z4ZFwtcLExWdfaqmwg0qxwhXlhY/15G8Nk3ziEoIUuQkldVQZh4J6aSo2W6T
uWdjVlPjhdmUNe8dgcrPwTCgvFsHWtIz1szEOgDS1quC8JYEVlDpyrx5z0QKFxeCOuQHjrfA3heH
ApDuk7F4FnJCyIkx1whVssj9m62MoYPmIheQ+k1rWYM/uDivzCj70ujwFUhEmslDJdW+Amepquwn
dia5yUkX7pW5a/yIGFhGBO5iTMsJu6tv8pIwzyEx96jRFwZzod6VcditQtPcaRUi/dZKR+QgdrHk
SpL3Rwa7MYev86zvEsW19pll3bUiRDlXYrXFmeU4wOQ6C7YagS6rYuzVlZPbe4Wt9OwIBnGT2wq/
1hImea15O2RV5YfCOqmAOEghnD0fLfOhzfvkQCLGsTFz4jyrhE9JgPs0njotPCtjtBnx3G6AGG0F
3RroJEW77fAar9B6rN0mf4lza+MCjmJb9NB3APLQi+JTDdljckB8ZIrjrvMF+4GD0ViHCwoEoQQ+
NxO5Te+Gl0OjoL/37ECfPYlgauB7PjCEDevpetY6/BBNDXJklmA0FwyJ2ggzcLvK3M4RQYnqgiup
m/IYxQBM5gVl0i1QkybVlK25gE6qpr62FTQwEgaKokZPtVIYV3qaTD6rX7ZXoCD5MewUxRj9aIGp
ENr73GDSeOvgrJC63ZvXDuwV+U5hKT2Mdqv3bePf++eydf16/7ytyurPhNLLq/7YQf/S70tvnlbs
0qa02S7/OHawg8L4NtlxHc2k4fP9Dgpzl52TLqqO7sP+R857853P+0N/wiPWCQKcw6bs6D/0QbIS
9HZGROmZmQgTUmvBrLDf9l/atA8GM5sor8NsR4MP2LzmPYSC6jhEurcGDPAiivzWYdaAQ15f90JQ
+NXJS6+o+25oTpkCxbe1UGogLVqHNhkLmaF9Iosi2nagxY/Ut3vcHL4hk7MB7KyIvYsONK/Wdh7u
27Txh1mSUtG5uzJJAzniyjDEWow2nC9FXmV2H/okd9zQ6Xv2Eoewnay8BomhQZFR7pSYyS6uSxo7
CYmhoX0kByRP5k9jtADTrfSmazGqtmRPMMg/FirB5akstzNRoBdqbWIaluZK1cyjtOrLoeyPbhd+
rb3xmNAjIOo+uzYnsqOjMkRUQN54pLONtlbQAST53EKdW42Zu5Zd+5Do6leKfIRitdEg7M3vJ0f5
2ltYiPCwErrsXsx5BICE9xCq2UUi689dWnWbIcySYJyJ54z1BjmFFe7DCelCy3QcbNS568dPzFDR
ezj4ftxmK0zSJTyKk9Xgahu3i5jfYZXTMbhYo9z1o6b6s/QeUtvbwOoDHR5vVeEOfuem10zuTH8o
p5PbydOIXiEYw/opiS0iZvUmZaSdPTTdjAw6E0+WHI8j8B2Gu8Vb5bYX+PKiU5xFdDbMeF0KO0D2
KnyIgbsu9NpV10R3et7u1RqFNTnR3gEFZR2ACvlaRs5tFM7bfnFzFNg6cCJrq95QXicMHxLjh40B
hP+2KxdHiDm4bL2LSyROxRVRo/hGMJCwJy9uEs8p1vbiL4kXp4mD5aTQml2KBcUGyEQMOa4U/uGF
1jdBXVHAqItzZcDComFlSbG0mLO29RaPS43Z5T34W1QVcYYYYfrFEdOwQ5uLRwZRXzAvrhkGcq6f
YaQhHQNHzeKt0THZ6JhtMly7ubfkoCOXNLPxkC6+nLiF64dRR8WwIyRh9MR0OPOXPqrax7gUS9yf
hz7HrkrnRq9xJUGtaQvlWq295gb+dJFvtYl0bUMFwQqjotfDtyyaXkPLU/24yonWQmbolNNDZ7cv
IsPPVleASyNvq8TZtVbnexQWlk9tva4ncgcNZ1hDi243riUuNSM3eXOIcxyHmJQp3VViMoM4NEfy
Wx3pc6As/Dop1qKaUGfOFH8oUwgocUMAZN58zwfN6DcluydRTmWD+jBT9iXDZpviIkrztaeEu7SY
N5lbMnt3cTKY8mDU4lFrWsQS0Gh0cn2GAo+WkaQnJ8GHLjhkepPDeZSaoS74QB4ECIx56je9O/pD
0e+ZReBqKJ31XHRkbHhPsAiY0rcxYg0AiQz2EZYVyD1lVu48YGqG8L50I1hXQU77RHJzBjvMqOcL
s0/3Y4v6v9DV9qiPI5/tEgfP6aFrv/TtcE4nd92l5p2aREgS5pYQMTRTplUGZsZTqKK6aTj8L0zg
W6sPXxubKtgbir0geNHvnGHH8QCBd0POpEHKsioHtFVEPieWu3IBc8dmfzE65ZHscmJ2kHCbkfvM
yWElCP3ql+SzWd16Tn+V2MOjqtf70Jw2ZME4QZbmrH9TyanIrm6M3hN+ItuzqZKfFKW7nAWwTobL
0JaEIqBV0cV1qPcHcptQiVhLas28llLf2HYbGIq2r8CWEwZXSlZhgxRhcVRLuXFLk3wY5B5Nrb7k
IZIPofefjMTN/RFq357p/pVWzihSo2uk4SfPnQdfSvT+thyJVMt82i5k8tZRGhRK4u2NyAKuEk9X
nBU2WY4633PfDF2iKajXnS2CDivmBgBK6Y+QcWdRXwnHvZ+SPvYLy+r9qbCIlEn1/CkzQnpn9fCW
wkCIJxUBc7lPRXWKvW5YoVq46UGY60n7ZkVz0C84hXiaSFmS95mmo7Ciy8YKHHSldd0qYbWKFiaD
3T5OzXRkkAaGsy8Q+dauL+A46PAc4mk5eUVHLIUs4xAfwgbw5UoLm3k5MnTZw5CDc19rSqltFAki
woUVkauwfC3KcHg0EgJr/NV8h0oMSNs7OBOelGdtAU9QLkDghEUxLVCK0GjeHAGuDcv/BW07lst5
AmFRJY8VTAvsTDfmArkYKhPiUvfFIsxVqN4BE+O5s6e9XPAYraP1HK/K+wlyBjngd3mCfJ6W4ZpE
LPK35/EMNEr6pnRv5QLgyPu0v24XKIe14DnMd1BHOHBqLt75HR/qqX+d+D9iAPSfD/gQwMhCxMyF
Y4uz1vcH/K4BfjJ7hnfWbovVk7UZrhpfrpBAf767AYB9SILKF7vkRItqHe+qTYzRdpdexNt/F7jv
CubFOPfrAvdUdf/xv4moyF+7n/tEy0t/r3IXBBysAJz1OlghWkLf+kSQjj34x9SwpOWhTPjQJ0Ki
TNfd/iZf/tYn0t/pcPTdLWQJsI7/kehg+ZJ8q3EX8AAyaL5FBodKukTqD1+iFH2gO5ZMXPoikJjH
wnhrNo8fbsyffVPdpdf041VgwFvAtCinDYt78LEX1YSQBixppZeiSpN8XbkqE12vnYlWQC0ZpEaH
Kwm79slZAh76Jeohl+FxoH91Q0V0nUMV0a04OY2qCg5AIypCc7Eg5Fqi+io5EqNe7PshvkiWwIVe
O6lyvMaBdNGQPzG1xhmw3UFNKZ+LJaIiVRtv4yz957AnzDwhyUKb4pHtF0BjKijsGYG+JUvwBS1o
LELtex5GyOspTb3VPOG7P4yKxMIwYmEUSxRvuoTyksPAWCETJWR73XwIl+BeJ7eMT3qh0DRhXrhN
1Cy2g7hvyGGuAMg8VpVGLpNLTPMu8pb8X+09C3gw3Et77mbcu0tM8GS7cYwvsTbcB6k3Nol8er5t
FWlbWw3eqGzoCDCVafzeKsQcrlSyqv8Pe+exHDeSreFXuXH3mIBNANsCCuWr6ES3QVASBZfwHk9/
P6ij+6p7XMx+NjMdraZIVqEyz/ntzUGPeeHv54JImIPXYq9SKXYOBmKfBQFOe037a6hX3jPVZMee
yGHnju/XGu+MGXZ70udyKOFZjIfSbqzpLtaQLNbR7J7cRthHyt+iN1Vo5ssAZIPmeSZIvSt68+AQ
NE1Fh75O1g6UjfDUsXW/lKVjbATReVulJ5RVr6YYDCkbvTqK5sOAIejq9r297XjNz0W4tB8tUNA0
E0AzTw4jTp0cFACeLXGLxJDJYXxYBmzc6iy3bqm5D8Qwg9WlceI7s0t0d5UTj52Z/lDSnFEnLwx2
w5m3bsB5mizbBmumj/QUlkhOyVEsPc4VXPC7rpOE9Lhk4LTxoA9gFe1OGMMeiTSdc5Pe3kf41qEg
8ktSyMvQtEWQN8m9WVoHJ+5Tljq5L5Mi8yNDvWvd8RFd8/CFJjLnB/WHyEszX4yT+FEmvW8xkGVh
rT2pSh9EogsUvcy2rpIzAjIyTwx6rai+t233WSTN55zOz6Sd+Y0xHBnuA/wP1B4sO3NSL7Mz+IZL
rK2ln5e1TrwZvqpWTyqFEshRg6BgQ+rnb7SzQmx8C9Ve80chDWieiB/CGt4skXyVizC3os3aI4EE
q4R0Oeu5zgyiX0TV+2OfvVW8fW1nYFN37G04iCDSGbzU5W0K2y36UhQtar0xwojoprZQD6lFp6wG
tkQ+8B2/44PVU3gwJUtE/AT6YHNQk0tsMvjEoX7fyaK9jHV3wp7Jw9xpO1kjxc9CyBMnn08uHyK1
tDe62/iT45ydyjhjf3thdPAyy37s9eieivUzOensZ+4574f72CX8QmerCrmjI9ps9DnTNinwldc3
gGhRo14zJXsvM+0dIO+YtNmplM4x7bX7ZdR8qZOoJOXFMlOvlvV8Wmwbsg4WyYnnb3Vm73vX8t2G
MZVxCbXoeKSrfD7US1EcO9xZ+RzauL8KPAGRLHxrMrJd7Va7ECX7wzIrdfCvT95/0MChOeALP5tV
Eanx/38+eeNZy9tZyORa1pmOjc2dt/YwZ36eDxKvp4FzZAiDqIxzaLXlE+FWe1/XmfrkLA6O7ml6
6Jv0rE6hn7n2izp1uzoWP7CVRSCC9DpGaUiH/awG5cIzTemQV4aYmkcYy41Zk2ZvO91+KHGo2Uvv
JWn7rNMKsqVfjgQqLFyggt5Yo104aFUGSxAWOy1tdro53Em93LW5/X2W+SM1o8c+zE5LK491T71v
VbKH6+6uG+fSb+dkryNgRvSFSTxUmHXMdIep3caR2z6Yc695VSyOauzyuSYGlMpRgOy0mb6kyWBi
JWUD1Gf9ZiZL4dWCVqUpWYPOlmvcpodstHYWfYisgPUh/IlcOw0pXw6K3S7dWlF1llE+UDwM1yDH
k+xzSo50wOgKj2k5t0GZNje2jgfK5EjVAAf1BZFZzMeAQk1zlxgsEPmyWmyb9Is5r1aPKflwVfuU
QHhgXaw8h0yXLKu/Y0YlUhRLm6m9sSL6uSE84Zr7kXPIaMvvpWuf1VodYG+U76Emlk2FUF30hOZn
MtcOSrWeZd05scWrrkpA7nnYOKSBzLmueSkA8NaMo5ux0EBFQXiykiHOXs/THmu2AbyT1M1FQnX+
m1SrPytmfg4iglgEYDbHNXA8/WVESJdmpMMgT64hJgEjPTZ6/xsS+08psb/T5AL5a2CKrkWxDd1f
f4HzDLEU2Lii6Cqx4ijilvQJJUwP8GQ8CdJLRI2xZPtvPoA/5XX/P/rwi/zlu66/9y8ip77KOszk
inJR5+KRrhxcuPwDt+Ir9D+eZtIyPbxaLyI0DkNfkCc30cQti7H0VD2hs6tZXkvFPhPbjagxj4FL
Ru2rEyNSz1Wk2Fgg/QjfkS3NNxFm01GTQJQ8TUW57Re72DqVQjxhRe8kHrH50E+28bUsUgywiAG2
SZJ8Q6fUbGtVxD4n8Ox3FD55aC4ee1MuZNdkXwhjwYIeUV48d9/JOdlzKT21TRMIkgQ2upXuDTVW
tvRCweiPBSjh0qtenQtiUUZ8wXYyPehxQYMNe3ttRGJjuTSNtsOPuh31TVslh8ZUiHczn6YlfTHV
7Gh1JVzV2h2ehAZ9Cx3uUtFDliwpcEPtF3Oo+waSWS6YjFNWfRnw2FIUn1+ceNoVzbgdwoUnWN1m
XQRCiPiiTAGNqiV1/EaGl6p2YHNsOJo1MjGaHmO8xJsJbLTvIEEMo1O9xe52CkjORuvLDxHVUJn5
mjlBbdHUbVrtOFgDZJZl7G10ln4Fg1nM8X4KJyihpr9WgjsyrSilb8xPpyY8MEzoPbbMXVSZZ3uU
3r953P7dM74O4r88baPJiKEvPG3pubiLrkpQn+rncbccrL04O1w93jd93JC7cynex9O//uZrFd8v
U/7vjzphsJqgcIdY6T9/c4KOnSKj1v1S+VjEzrpXBbDI2kl5sQN1q365Kd75ZdiCOQ8f/I+8zmd1
c0yCkEjATf5vfpo/Lza//TCGynhJDiBr1BrQ8usrMasjsU042a6xelcZcpOoL81/qHP++dn+9Xv8
RVW4NDmcVyxjLtfPqNm78/2/fkX/4e9gE+OGZN0gUvAv72Y+iUVRk5rLW7mrAYkbi5nztxPqv/yU
xuP5z9f3y8f3z+bjH2zufNUfm7tL6CzcjqnpFoGLqyztD1mc+jeazdjd2dhogxH80f/bBai3cAny
4aohudnlofhdFif+Rmwjme58gQFm85+F/f3VFYwszoFnJhsAyosCV2f9IX59xBFrzK3eadEtdHPW
2ZxqgJYiLjk3ALfypcoAOGmh8JdkPtokVGDFjbi6+z0+5k9TGWpvdC1OxpE+NVueJkrVNoubUqQ+
IJ9TlPv1vEb2QHmxk8tn1SXxLEwws5pJ9U3rq5Sror92PTpxbXgTMv+hpdnW0rm/0FS+C1f6CsvD
M1e5ui+Y3qJ8DD07tAafH7sM+p4nO1HQV2n6Wy/twq8TpHOtYaIoUIQZ0N3xYxjbT1LiBe00qtg6
pJh4bFmPZRbfT1HxsajjszKTfuKKaPBKi40ug/y2hGL5vYh5BdyY1g67/OpY6bfYbq50R4hNM/Ir
EtqQbdtKu1Mkdi0ZXcpqOaWUPu7SxlLZmPU7tBZ3amFMG7JbOm90uolUC9PZCbOCFWnHb2GbUmqk
9TgJYweNFuC8L9X0aRjmO+Kt442hdvSMGNI+UwP/2OYho7d23xZjE6TSzH3FXU6xdI9xN50IxVU9
G/PW6kM7RFqF+baEQMEiWW7K3lICJWmRgsfq8qXNSjB6snxpELdTkv4640jMfxq42fQd/eB8jIaY
HJhCJUQnT52dMTrKlhSQs6iRA5jke8x9GN7PSkHjOgXxwRxxm7oyp+RZSYRX9EV8XwplV64F4onN
EFu/4zhbdm1krHLJmOU0shP2ADOwCcomnx/ZoihCbAI1rel2YW+Yi791bpx7ms3eRp9TvpUFl+OU
h+/SJn44aqpLklWzz186+xRRBWmCngK0f5uEWrcdCtEedb1+YPGDryIt0k8niweyJxJdbU1j3+hk
r0T9AuugGpuq7RGWKKbcpFmxEqVrfGyqDz5C5gt5gq7vTOKzqQbaxl3tWoxwt4hfUp+dbsJOmsig
isClNEU8kqDxPtj40BN2qE3r2HLftRPd7NH4qMxhewjZ+mzTKMg5wqlMJCaugX7gMXZtCAukH0gv
zL2S41lM9a9sO0TjTpBfU3tRclwFEUb8jTkW/hLXX2fXnHnz7dr2i9YV90RDduYRHyXFNxse3mQ7
NTPpv+OnnOOXCQYs0ClkATxBHzKj5JiNzrizx/yNKKLWDx0w6rDtsORa8/PEvs1mRPbclChE7riZ
X5aQOlAxL4QbjbtRGlsgIrQZDSoaclzECb6j3tROjEvYKp4wmN8aUWF0d1tM/sWPpKsfdSM+FLpz
ol/nfunS00LKh87iHCvxRU2JqyxnVI+mBA7KG/NBLbHiavy9AdTPyTFAfVgGD6VNsgDY29voRnvo
phMK0h+CBiD47vVowoZBiswRg8+Hvg55NS5QyKNuxPQxiCMO0sCZoinsvdTuupciqocymOKKGLNY
acpHY+zbZ1bZEWRCx9gr1HZo9jAx1nuUldaxa/HD30nyG5xDVyvme0hFSnhJLRJTczfrfDp7XzSQ
ia016TwaYSS3Ic/L3izxbI8pXMHIc7e1KpZ+nsK3Hp/8QvEk7IbYx6iU6Dokp49UbyyoZXjvwFpM
BfQvrdQLsUj5nRQRY7bGCZdXCcdTRnxCH6U/osa+bwR5qJQBBzNRGns5Q3XZlf0AxgOeMDzXVrkE
fIp3TkhthdvDq6nLnWsmpz6bLa+q1A/IUFrZi5EiuvxBI9/A60hX29dSSXjWwtucqbo3dxmWXFqt
NwVy4uxQlCyKrVF82OVAe7FOpLQtCEDK0q+6M3IaTF8nWw8KAgw2i2Pt0DvxOZQogG0le1KncwFu
SKiBQ8ZmsezYtnbK4NzwfyfBMKc/hBHTyt2xUBs6+qZkqzGwbTSHNjE51MRh5uNjvhiTH4ecfk2e
R0EBocT61OWblLgg2FV6DMx8Zwyq5uUjwlhd1A9JaiHqa+xzSOxN2aqJV49rWhfhonWsX81Yy30r
UgKracgjt4tnLOAwQvVVEWHhlap4SZ3hWzqKeDdO8jTC/GzYyU5htbxYtYNoN7nNVpl7eieOVYgq
rk+rIHHVQ9U676qBzsxQ8U4JpYR2QolWUNzmWWzZxSx9GJ1H282I4NbNTzEgXRoXDluDEIEUlm9D
OqzgP5wCvFNHs3MIQk+wkCeNTVi4zflMLG02wJcryaMM84+6tw86suGsm89DqTxnBm+16qB+7suO
42YIci36TF13b2GgKhX+NKycH92Qfq9a7ZTr/6WD/pcoZYNpC7zgn8+TT30JrFN8/v1EuX7dLxOl
RqY57Wu6Bqeo8ke/TJTYkelswzRM+eSaf/P7ROmsfb2E2Gi6cPlPdNaE3ydKuCX+BVMm9lPXJc/2
P9EMi1XO/OsG95utUrBq6PBSICV/WWg0nAK5Uub5bbHiIw1ziEkQ2JMf7S9FSlcsyMomDeWFGpss
sAxzD3i8S6ruFvcIGGTqu6N+X5DK0RvacWyrj6w338KWnq6iu0yLdo5AqpYY40SmlLMX29FbO8v7
ARfkVuQ5iJcQnhnPJCvIvvIWbZSnfJbYDTKGIifvipfSiE99Xzp8rPI7J14lLaWrbhbEQY2bfWXu
C4xQIz+vvFUoL5n/0tdRI0y2LIjbsmr6xXuAxkwbk1svyu+iLNONRUCgt8S2IGEw0yhwcM5dZx+M
MH8y5ukT9cWlNd2VxX8ira9ch8Ud8l4cpIuxKQdxs0r7KDtSVdzY+gLa4y9l9z7i7OCmGUhkJKdm
dJ07021OMi85h7NrOqZBpWghfM1I5oNNbpzWKC+oMLk2l8pXrfQcNwu1jBVYCdfQobBkjdJh0YJY
cPsrqfs+2fmdNfRns3fKa1Xfq6UR5KiiZlu72RYqJmMiLBPJQoqZw4AwNzQCZ6XyOpjhizBJ7e57
JMXDSCedzL8mc/+lUlTa3BaiTbQpvc4DL12dUTEBqOG3mcifa/MAL4XFk9OJUJjaHq6R6gQhcqhN
btFhPvfDYzwDjIoxCQheln5XF889P0ZIs52XJcrE1FPurASYsnE0Dt35xJ0NDpcqNuycA0U4O0w1
sE6JU57GMfyOVZW1QognsxQPCuGqntKJs5vj7u0tmzyViiWA3LwHBRkYibjm2SqRnU11+oTH95uj
ctWF+X1OOCTlBs+Ri8qDpHZkofxS+yrUqBDAUUP33RR5ZOEFhtkx9tuI6MokCypImgXJuLVkyJKG
faYbclv007zV2/7TsazKNwV6N9WuXrGQbF1ERGe8jXgyJLnZhA2O9Bto7Qaqc0LPhCRhmZDyCs2t
LsvckClD3XXVO56pUgPFWqTRTuA4ft6j+ZYNGRIltaH0raLmaV8TYZ9ZUB+4YxPPTtzcU7Rl2eVF
imQhpALDnQueTEN/r4r60Rl44y3C2Gdruap9+D0cFELGB+vBrZyHnjL60SAzVQvDg01W9cbioceK
7AQTJIDXkBJK7V+GuHkkXTutm8FTlvkjMpbWs0he8ySv6KZTGrgixVczomJnthZN5skN29kuWfR8
O2cPWJE0VFLkKi0fFG99dIN4iqbhKZMafkznLtN1ov6ixUQgQ14G1ulnIl+KTUceCiVlQfxz2kvq
cYMMfS0vghMsGAp5X+cjgmlyq9BwZxDreHfMz3XMlqpyQflfbBNnLraM1B/0yu7nqrM80mpn3q4E
cdVo25u5KXvCsJk5bKDXuoVwCvXI9Qh44OcZYGtGNt4N//6HLqeZmViSDW9itHKk8lD36meb80iY
Ik+OpW1/qZr62kri4XXN/GQIu9nKGLTpJDaKTnVGMTI7CY1sUnVpzqFGyBayaT/nFT/VBb80kZ6D
13fFm5lLQvVwM5DX7xBMPjQmK360D+mR3UPtftQiKXcuR6OZUSJOrI8Xx+Zl6eJbK1nUIP/pZEyM
xzHNqXUxy7u6Vdlwzadq4awstUctqsnqXDAHQKh94N84ViI+6vxy/piwLFtq/0URi+ZBm9VbmaKp
byweapo43nDWvTVd/RC3ZrSPpEJ1iNZvSfnN2GH7x8ph2moy3l9DIYnMaEZvtFfLfd58XUH3mVO+
jN0bB90uquN8o5vt0xyOz5nevTS1g6gm619Md1H3mg4Dp6o6tTBtihzPge+hKTzflBFxITSmHZo2
fSyEsVuqviTzkSD5DMbQlSlBBy6JYy4KOaMSCA/050Hcjy0Z+69jcjJj475ISSIlhSglCjUhoEto
VJ6LorzqFU1VldTavZqKT42DfqvhVx8SwUebrpK9YpEbY4sl2UqbINvENP3SHc/sFA8DOaP2JDl+
sRVg53osLDwzJYGHSdS/wDKnGyTvx7q7DgI3mAWKEKEKM2cj8WkESnZ63WA3aZIXyvd2xIeD6ioc
/4vSXNzZVpij+ywwuindLDAfAOkO71a4GuCjI/UCeIJRDZDUXkZuvZl7Q99DkX5ivI4vY9FB7USc
2PZLWubjrkEnhcWkXuarFjM1xy3vsz0vYh85HTxB6JWcX8cQc81NM5rypi7khLJhmgeo/yuSRsf5
6M2Z+OKJcvu4Ygjl8gCQqKMgt7SLDg7OaXQUkITAxDpWFEKZlMY0nhO74oQYsBSarbKPa/Nqmm20
B73/xBnyGc7RV64cFtF42lMz5ucOaTe0hpKWz0fS0Eo/m+Q3OLuC/GhWUDVFbRciCy0i8UqCzkCj
DEzdSCplrbWUmKKaI7RsVdqKU8SLXX3t1KNmhivMsFcwt1yZuG9GNYV4/nLNy6T6hZefW1yTn9WU
Hgc9sgPy6e6bVuxSp219OsSLoJjUjJw1tYIrhLjT6vG16CYytOQaoeYLaX3J3fpurlMqQZcMh4cI
mkTeoUfONy1yUa2rnuzS/MbhetfR5OnJmEcAbupBUxrEDJVGiQednq7WXn/Sc/aC7ld0CCPS/Ebo
6AxFHvfbxM3mbTN1PA9jJH2W0HjTiHabT6heKmG2m6TUP5ZWBy8cx52d4KjVHHFlyH2l3uI82dKm
VE3ZangprNF542oJhhHXTD2c+OTubR3JRD3Gayo1jTqJvIwaV22mnSlFOIWyfCHP83UMyZ0jj+2l
1adLOdmDR9qBsklJCMHIFD3ns1qAtcjDkhwbs7lMURRUo06kcuKQq19xRyviS18Nl2XCzVogTDAt
Yq+I6GsNNp7J6fdzMxMKPYlLzvLoiZyDUEE7bCXCh2nZZ6WObGg59Y1hQPig4RcLO96Y53cGqlI/
6hwFfUOj+0NMeBzEV+WN5GNsiAucCfoHfkD4v2+JqvYbNf1qU5iNNrG/s6vW2LnNUO4it23Ped3M
kFvQv6ntcCiF9OuS6+fmY8rMGXZ8uCxJBvqT6JSjSOx8J+LyQHEE5IesjBSEc3CJuf25hfwX3jfZ
Tf75Oka+aPfxP578+EcY//qlv29kuDgJFdVsUndcDRMWnNUfGxlpQUT1g+ID9P/crf7YyOy/mY4J
lA8Cb7OyrWT17xuZIFuUJFJXsN2tlM1/5OI0/xJcsWL8Kt5NFTbBsvhua2TRrxi/rUUa575V3nSn
oQuCwGeS2eZ5O00Fl+UUaQc+YoE05kORFzofqiJ+y137SGxg4LgdaYzl1e5rxDfKbVFIPjaZenhC
y7NMbBaRpHmeVfPVcSvVJ7N7RgoA6DpnT6IJb6naIR/IIjJAytQGbzcWPMxLWqlbCUnMhW6RFqpN
6nWJk8EnmnfYxTSkIMBx6MVTO3YNzd0uKSuNFs2+RqXiEpYkDqpWue/FCPyNvmqaMWDM1MsiZGgt
tFUd7OmgfkEk4tMOvqWCsvU7lyxgoQJOWo31TfB7etW6KtVuSOnXIJGUT+PaEZl+cxPX2c4hYCb1
GhnDErGShRkeZEVtpJpP27KgAZpVSZ4sSxnPYRK7dB1Qq2kiv0jqHBxMUllGXdqNYnvPSudkMy5m
0In+iShS4cms/iKIfK1qjboZY0R5lNSBUYc96AqFRYUi10NErT0OZE7kur9UFcxFNpdwBIOyYzU9
WoX+jPmcuIs1B2gkgQaN0d428JLMWfJ90IxLVCxXhmcGQWBmcKbmVa7q6Z5RNUvAYmOHBVfViTDJ
MLwuU0fkOilCbZmChHcp05NOyUIn7rOQyiCIntHXl2hbm7kTjEqJ6RGBh662V52Ab7MG61fzc87Y
rsn+ZBiclbnZsprxzIR9e1cngmT3jJdGZfLYmjgWWlIt27Tf1bVxsa2YUBqXIr96SMt9phV+Vim7
JlVIXCnby5JR58I003i9Ix6ImrsQagsOPw+TZ+akPOtYrjYGE/pGmh3RLHQIcDuR8xm1T5M7xcGQ
FpfIDN/nepgDSXR21BrCtzr12azr95Rd1NdAIeaafl8nie4BMs/alPtLNF3r1v3eiLEi67TlNWzF
IaqByNFPnru+vSVlWyv3JUTY8jlPNP/ZZO67WfVMeABeK9wHLY6nS9GvTeyd+1Zm6kNnNd8degAb
unaqJaJZQPhVOx7dTgkaVUc7Fl+TsjxOKZd1yS1fkJVZtyS+y7CH/AitH+Sd9uy9o0FHTR/aNCcV
w/Koi+US1Q3lwTi4ggglKun+gu9LLINsdqO9tKz48X5cjLvGemsV0hby3v1SuBS/pNGp0Vd9Umcd
xthYCy3ukPPvwyHBcWn19xx2EGCdD3lO+WIS8fTV4Z3RdvR7GahEwSLLPnmwMSMzeT0uFTpY0RBX
Gk8J5loUk7xdWLfdSDOCZpZJYGRiJ6MkWiFljiU9xoE0U+Gg9Dw5RaXRhwzeuckXIJtJebXN4kfZ
qN/poMo8s5TPlF+dLUoJWdcrk0mKtUltkMrZafXV6ZXwTAP6hXWYY0JV7/BA8WGwa+1Gay1udHva
ovf97HH10vYxPRjjXB2MYngnDTOoTfV1TmyCHJD3oJ9hxeLz4pituZv66KWY3N7PxiKonHk3hKWv
Vs2dm8iTyuTKZDN4Vh1e4RVQf4lsX+KuxSVgfXH60Oc7D57hmk8Y/fVdTB87Fhqt2jIfTtta0S8T
H4M7esIerLndT9JMvEIOOWC3Tp5WyoLPgs5+1vn8rozeWWt6blJ/xLhivW4GfsAMt9Wc8kfkfkuA
/FFbPmS8JtwDmqdHhWQ1du7yTg+Q3/AuDpm5qUK72QwLkNI4pLu4JlUzSSWa5U75jgp76zjZ6k+M
jtKKrnGKo4FU1uFkKlqx5Q2d95Y+PUwoFCloQDxaJuxuDkzjhFymJ66SHoyJcHg/c4xTTLq2B3H7
rrZLcuA4RrZmEsiB0UaJYYcS+l/ANuh+FD3EEymqbtR+y3QsbgqzU2PZzFt1fYlafGu6Xj321nQ2
1Tb1FINiGUAFK6uuBLrKQ6WNt6ibHlSS8yn1nQNL2KeydveKpoxP8TL3wdjrn5mL4qS1bXAeYkMW
uRi/KWz+O0+twrV/Pk+t7b0suh9/D2+vX/f7MEWOkKHScohv1wTjXlt6/xim1L8ZgNe/Ffv+yc9L
vKKKEsdmutH1n3aGP2Ypm4QhUjIwJhimyULxHzkdwMX/hG7/1EtQBmwwzvGhNPWfs9Yv4qi0UTLd
XvT4lqtUgREV0Vnvk6YS+W81RRHdlZBsx6WvxbuIzRE9j1LQfzdOykhmrd0+Y90sH103sbD4Gf1Y
BkZhdy+t0WtQj3wMtiKmFMcEtppW/GpakSy5Ylr6JO4ch6yLSLv1K+gl5w9wrg99RcPQxonWybch
SJm+Qmb6T/AMFG0aQr8HVUOYxgG8Am1ouVsvUuePbAXh6hWOQ+fcokQDosNGL0mBcAKM9kCMBVuI
1bsHM2o4EMD4qlw8mGB+eSI0PzMQ1obTFdQn8l3wwRqcsAIvZKQAOFwhxGIFEwk2WnbOCjBiA0Bc
C+aYgj0OYJD0tASZKOQ5B53s4wymOdQd32zBNs0mojdvxP9VgWsOdUU6x1JdDLYlQqvh+ahfIBkh
n9vNaK6NdytI2hl4AaYikme85dSMV6/GCqm2Gut0rzafmIVn+uUmDrG238s23akgshoEbWXbKRyo
6xFoDnIJegv7heds3cTqFdqNBsfaJwX/ZA4TEKlbPhcgwTBx9w5+XKeS37QsfhIrZNx1qXkOQZFp
5rtPVlh5WAFm2jGJWO/FOcLmgzPZfIhXNLrJEWlYNjxCcVrAq6sVuM5WCLsogBURGqQsg9OpIHux
U0cu+LLYyRUCp+1qwR6H3w50PF1hcrEC5pC1W1F1K1Y0esoKqseg6+YKs/cr4G7/xN4b89CtYDxu
hgmArb9fVqCem/NarNB9vYL4KWh+M6dfwxXeFzGoARUqgd04L9jnX+0w8nQYAZkzAEzrj6EOD8rs
BHW43CQcAvqXwA3veFjLqwnHIN3sbpnFe7KSD8VKQzRMvRtzpSZUOIpO8NhpsBYlm7Kzzuax4rwo
5JsDbXEfaSloitIkQQb7YVX5zYANMV1xN7TIILqVKIlsM+DofzdhUGJLJ3UcSkXArVRwLHMyGuRj
Udrsolgfathl+BgntSF9pksj+k8dvqaFt9GoAkhXIkddKZ1OUmdirTQP6Ujf5Ur8MASD206Smj1Y
IX55AmHG+LVeCSNNzW86DBLYQYCn+6uihJ6zUkz2SjblsE7db/RTfLJXQgoupmHH4E5X1EKelJW4
sn5SWCuZxRT5QdZUtu3gubQ2fKW3aiZFAHV4DBfmOstZwo31GkUncGWjyD86uLPF4pvCpaUV4FTo
HmI4tlaqOxPOzVjJtwQWrl/pOFDjIphBh009W0Xh9JHB3bl9Z5wSrSnuSQUMCewYtNWPUAwYdo3F
d90ag0jqvEBpkrZZ5kRR14jzg1qq3Q61CwL0oiwxP5v63TSbZGsk2jXmg+Xxnlu3gjj8jTWQoIhM
Y3pZatJ8Gk2Tp9RMrV3HS7AdpSL3WPYxuOJLYgqlW03dDKKLqTkwoAIQBJPkWam4PVN2lv/CHj9Z
6LVe5F9c05/F9/JbUvyD6Kr1C3+/p8lBJmXBQIj4W1IGf/THPW2umkdHIx6baxmD4R80NA2FoOsE
Z7tk4umGuTLUv4Mezt+4vilhoZsEdvovMVX/KraKRpM/XdLodCHadRthowMiY7t/VenbNAk4xOYp
N1BB+A9OTdVcPsMRc1lmSbz8mPoxErF3rDZ/NamaB3f1/uv2oAD42msmQPQzHsClydPvW615QQtF
fIClwFlSx7YuKFSCpvVaE6o7EA/tyD+ZrrkjUotmp2Z0dgSqT9uhUtyg0fRX2kjUb1FN/WitT1VQ
xlSSjmR6QGWtR0fJf2us1aV9pjfvbPrUma7Fpks8WMexsI9p2tDzRsifFaMKantl1+v9VzYRPhFr
VSqVhXDcaw07LarzWqea29aWA2K4OmvVar7WYoESMTPPLPLzWsnaZEjQyzUBYHaJNeKi3uhrheuC
pwecqL1LWyjAYu7kG5ff/KhpL4nZEvisZFdSemIfQcE9sTekEenahfylEl1YchvRdrYsncJBaWV2
koV/oG7WXotnO3tMjgXrDxcNtbSos9Rt+7OrtmFg4EClwJZChrW5glJbc623tSIXR2VpeF1iHmtI
OtQrJe2JHNu7ojWz+4mm3HKtzHXX8lwKFfiibFmSgCuAEmfPKCRV1GvjbrN27y4/a3inCa4MQZ7S
4N6Kadlziyp8tPi2uyFd4Ske7OJQNMPAYUZtbigU55KYIyaYjsInIoVb6p+0tQdK6+M3uTZDxVRE
RU1ubcYW8ZVGfVSmddE2pFCKMSP3KOA6yxCKyknnm1zbp2JqqOLF8nE0dDdKPWYvX7uqzMbBeF5Q
IKkM4tAMRE2waGvekM6P8dp2RYrSzqRcB/AYNdlk9c7GnEfd3SQ9NndrzQkAEWpA283LYFXKkSx5
ypJJR7yzrBaVVoMKTqWJg+gRvc3wHaSyOze1i6SVB+1GRCCsQm2RcG1yiCtliYYTnwWerH5n/B97
Z7LcttV263s5c6Q2emBwJgRbUaQo0bKaCUqSJfTdRo+r/x8ofxJLcezKOdOMvqrPcRCSAPbbrPWs
MH1MOzyrYlC9kVDni36gnU67QF2bhu8ciQFfK5n7TVPqSyvOrou2vfUV/VCXNpYcTSmPoxKNO82C
XcNam/0XJH1mDekXEfs+/eVrQ8JIlOJdMuzLMSzcFXCXTcWq3EKpxme+Yhd7aYKSYhK2N9XoMgvR
OUWt6R9yB+liZpX6ug0DRARDsKvCdCcJ50wqfiQnpBbomUIoBHkutMR5CtqeJ9CKroauYNGWcxgr
TZex7as81Up3bmOuHCmfMgmWEWMfGb1vlh3xasnWVPXrMqmYZtUF7kVxw/BmGZbxzu6MvdsDkVLn
2MEGCwtSsFsnBQVktLdAJBxuUrewUF671oXvTG9MAm/Mqd3ZrbPUyU0iukP3REjUipIABOmeQhaT
luyYZQUlfB3nVCf5jVNo39yEZzhL9dfGHW8MZbCWWVUeRgKPlMTwSn5jvFckb2NYw2TGJEqwL/Cz
F8CQX2Cy4U1J4p1sw9NUEM8IeQu6FRycggFWwZCAy6emuM7y4ThWo6dhR8z9dglMbBFOyoZicQvE
0MvKGAoDfbs52/i06MVyCPBTyi0pmF4Sgt8qi6sc1soqF8UGbA1DqxaeOvmKURdsB3bMWaFcdszl
GAghS9MYYg5exSMCctbzpbo0gK/4Tfoq09fCb2+GBqmHI9jnWYuoz+9Nhnf1pC9Vg2s0kgwl7Qqp
9blurDVtC5q94cYY3C9pDJrCTSHJFL3YZIb0XB+SXQbkkFU3Q+/sbcQywRtujS7cq0NnaTmkhgd1
uNOZbwyTvBdqQ4nlnC2rvHfC+iboIPpm33J4vJUQGJIHdWHrs3ilXNegMoB+r0IxeoEeXusyPBSd
fkOx+aYqDfMwAqJ6Kn0htorbbZ1aYRyTnmOzuGxM9ZbWZmH7br2wzHLlK8wRRbvmUTzWrrNW9foC
FgcXrFZkzgy0P/WyqNiQ08C+9G1xz78KIbyvL8faKD2epGpph2hs8v6pzmsvd5R92hQ7MvMYuYHX
62SyDhUOCVJ0GD+HIyg2y95oTXeHlOSxIdF+LO0dHgYIhCTLF43c5lDoxJDRmpku9svuvpfirpDk
0yqoIJjmRD4gRib5Qd6Qn2hyd9obrE/XDDX3JZbJTmnP7BO2zuBf+fq0y43sAqTjAeAGUbFttM7A
lZT+LJFEvNE717F0L3V1eCgtrLASXxQsk1tfWtc1AaB5bd6Qzy4WjlozEjKXXcksX04zjSO9ZG51
keKlWvQo9uX8opqK+zFp9po0N2U5p9b29Oe9V/dz0ZMj3MxvZTleqFqxVzQjvFJ84T9DDk7PNSRV
b9KaCymQkPVQcpqEgyf+hv75Nm4ytJX4Pheu3TwYuMo1g6ijgsjYSP1mZcoib6r7RIY7oalXvG8h
1spkowLvMqfZM5baiTcJ9SE063Lt6smXTAK0r4ZkA+rrFCdOTDdbsluBGgObYeuTrdxrSraKSLfp
QCLYAFM8ddSWSYqaKsxPyLg3sT9cDPn4rVSw0NfxUyNJNeT84wmAoBN3NryWgNQkJfcQmyMMbb0s
5ZAYSC/uFOdb15lrYniInLXXEeFveTGrAFCmMLybwP/k+7FhgtzA10cAzZK+9PKa/gxCoBL2ykXO
ILck8FFlWSrVYpcqzWFiRFLL8oUBIY5gAGV+SsyQgWQ4Exx/35W0P8BJ/F2kCBoOLSQrj9lk9tnZ
1fRSEtWWK1ciQ9qfLAqURax5fn6R2W76nW3zvQxFjamqQjcobd/hK9/NinClCAtjkHI1OM8SeXz7
MDCGRRgH4u3nV/pRwfv9lT4ZXwu/GFWIqwobvmNo0C7Z6mqadgValPYxKqzfB5j/6IL94bfH0wSI
g2YQR8jHhaKG2t9hOx+cOuWxafdV8JKnL//+E1EtUyxzGd347EvyLXsQ7liGp87wiPtuWVemIfuI
ACUYfV9z/PnlfvCJ2IvStJCyyFTvczLR7BDRRtFEpwhYVqRDVJ6jCH/xmT7ak9/bkg8X+WTjrX2l
MS2fi8RM0xp5Gbvh8v/vY8wf87s7rmsmRiBg4U84YlhTeUnxha3ALy4yr4s/3dYfPsanX79MxqTs
sjo6DQrrHJN1w8mISPOyH0yGe2Qvt/UvrvijXwdn1swnQr0M5ubjx0oiB7o94e0nu7omvgop1c7+
l9lU88NqAKK3WMlzH5B18vEavqkrltPJGNpduMoswjALj7zkn/8+P/rqdMyYXErVbe1zpAMsLtuO
IgKpZPmQW5chnWLMy8D1z3G7N7DK9P71z68431Off6zvr/jpx8IaDkpCHXGgDZiM6zudAurnV1A/
/jqmAD6k2gYoEAbihIt+dt2DWoUSP6jZKb6Uu2bH4XkoPHNlXoc3podqck1q9/rn1/x4yd+fpO8/
1af3Hd7CbAB8Hp86C+84s0fN5aVQbH9+lR9/dwz6BScn4o5PtwRqRctuMMifwIx5GmYjp/nFdzd/
+59/HZyh3G1Eo9lwRz/edGWtRfgvlfhk0/qSkkG1+RgZhBbH8S8+y4++se+vpH+8Eh1xIRlpxifV
fA2da9M/V9MvXm8/voSJLcGFRUV2w8dLRGrSOcYUJKc8vzJZoQ0ElWqt9Yuj7kePEDfbn1f59NMn
siMjkqzVU5S8IBX1dWUljbWJdiFpTkqySc1f/EZ/+1gavC2b0Ig56Fc1jE8mcM31ERbabN6bblPJ
x95aVdPNv7zRPl2CWdr3r21CWPhCwyo99RM0OwWNNUKO/5dLzG5iQcHDnO3jJeJhID+VTutUpy/K
tGNJ8IsL/O1W5jOwfTN5Thi8YZn/eAFenXav5iznqfOyFktwvIvYMufu6/sH+W95OqOBfzKVhbrC
8/h7psvu2//9P78biua/9MdE9j2BxaEsY4EmGL7yR39OZNXfwMfBjtM44+bB618TWZXYFhtUCsow
c+aM/DmQfc9m0aHJ6KTWzT4j9d8MZWd93HevOhanhqGihHVVVePfpTnax/ujKiqcaGEcnqqWycWW
1FHUBqZ9pRKgwZoneA9BSX5PRGnLSbh4p+eoFCQMDczU9wiV3prjVHqn3hIaovtP8JViELp9nip7
PnTtX6gMx9RVAL0CCXSSI1LGPxvOCXKtNvBOmswpjbyUxHaAS5iLdXzno4WvlV0H8Ex4ny16ghiB
Vri1sXxWSGHMGdAKt2xbBRIJeJ7VYESqPpVXAa5USkUd8f8qcHCmonux8B03rfJqRijn/rv1f7fF
cT/+863/lZu+/ZEG0+Sv/XnzO7jYNI07GPAAQEJeP3/c/DwX5hzjzs7edQSZDn/e/LqBbgDrG4WL
i53uA2dB/w1TBQ2ijRpBff+jf7OS+Hzzu7wRCXZ3QJrABzbmQ+27unwQStBJmbfHaUy8iiUqapUF
Ve0v3sGkTf79Qqbm8KhxAPOcfY6BU9Omq6zYKHHomO5tElaKxUAZoN4WmhEoPf0dq0fS7XRGtkO8
jgV1D4Bj8FAWMel9M5NPtbOSDvId1McyWn+H91nvIL/uHerXvQP+er/qunWswm3ujC4CfKikRJWl
tbqKyrLQVkWftp1H3rKP6ar28/soGd3VTECHi5C/mKnRH21cgFdGK8rUg92VjuvCZ+aZdi3qyRoz
rh31hX4lOtVMLrs0vpIN8cxZSSpH6J6QfbwyFvmWYw7wa/HFJvAi7/WNqVgF+n0+BdwdqK7+2s2w
XWc7fxyrpZ5k0cx9XaZj9RY64c1UGkdVK99avTunKtFFiOPjBztBiuWiiTwodilR/pnWRRq5MIqz
lN5aI5JNUfQ3gw3J1vBDcWSQU67IQK8WeOPMldY7B71xjwzY+uWkAdQL8DBtmty+HVXlPtUYwhVx
iGipaQLN5i0C+pEFZ7aCJR+tHGP+V6DKUhNL3koDXQMjyDy8qYNOWbW2KlfuIIZ7A9463yKxwIs6
aeXSUOS4jM3pprIaBw+9qv6iU9Y+VsW8yDkugIVQs1IWgQ35VKxUo4SySHrEESPAU4/j6zydAdIt
KkCx+dYn1XwZrLKNvZIrnBQXxlpfoRv0fjVceS8ovqudZ3AOTBtm4+ZsOcVX8PGZAqzZt8xjiyMW
qws4nIOXBAwmy97QFo6duKuq85EWsmNA1eaIQ2BLzgd+IyupMjJoxqPrC7TK2vTYDIW7rhnGrpum
XDOKf7RNnzBHn4wrfxruqrQEEigZfds1gtihh0vISYMvKhxWo+5uqHwI9J4w85C5ygB0O2GxHjVt
Y8wjv6oBlxi5kN+zfBsPeHt0A3ueYMHdB5eaT8YWR5XKiJIBRxajU+6qYz8QXlMFM1tbD24Ddleq
nh2wuAmcf+VGQHokEKQy1q2Iz9+9Xk+/f4ffU4E/vkTAHrEznet33pf4eJFcffxm3Unr3TLz5VF0
xHHyIkA0LvFYAClcmUVkLIwqePr5Jee65bvy4O/X/PRrKkNnyy4Jambu+oPp43aB1A7a394aGf1k
BSEwsKgT7KryzLRGA2zkI2xKUAWOYl4yI74XEcc1utw3PyHZHEmgVkDA8KcXM6gesz6qluiTyt8R
Uf+Vo/Nz/c9nMhL1nIjCvxek81/740xGIsBEQMw9EyoAAFp/ncma/psFFUk3506O++uvPEAGcHTC
HL3Y1QnG+rMc1d3f+P8F5CNKW3jD/y7aiqrgww0316OoEwj40Fz+ZwY0fbzJlRwyVlXV2SlXS8M4
1O/70rGNBMtTCjo2qcPQdc4itcsXxOuPUwGXBE78Gb8eMnj7eez6cFW2ATtlFMIlbDkQfOmyNeyj
aNTKU2LgwgXqF+zAbsfqaQzXWmm1LFWAqik+lD5aWV4bxVUNEk+xAMaZbv/NKJViFWIYbF0EeYCT
9oNBXq0OVEkpq5MUhbksQh2sJGKpZePzZ/YovykFUgTZyucuatZTlowbphrPyoDRu2/UhT0EW9tu
UHYlsIWTkFClqn8A53Oboiry4kQ962ZzHziokDH9ORu8gNZVwNhgxTCwwSibSCy5wZNtTyA1TQId
HOIWIuJQCwN5WzhpZ6Ha1SJso2s0CReZMF+NBrCGZMkESMSAk+pJRfEGR9tLt+GfdreZkPetHu2K
obWWbLvvi9q6d+NnvUdEbegvteu+SK2+klN0ZxbDS2I4JCDpOK7wWZ4IPkKEbvbbLARIEzc4Xiel
DVAyRec60o9tqRwnDBVeLBhFjBqhfsA3sl2s8qIwVWR6vTBO8+55X6EsWphKaJPwo+7j0Ao2sdJa
6ypIDyHGXNSCwy3yyQu4gQCP7QZcILZBlvpX5Ug+0JhUhO2WubYZm37joNleypmZX46ps0nsUC5j
kXUrq/OHldlqgsUOf2oT3ySD/qvv2Os0ak+WaK8EjBVPUdxqI43cGxhZL4IkAWCPgwZcDXqKfiLZ
XshdplDQSU3xNzxovtcX3R7E1xEtg8Y/iTdWkTdWZ55IY9kFMTkIlhZvjLhAEYdoTB3wB0/WbYMh
UWTBV9ISX6kpFUI2tALRJ7KwroJ97LTTPcbWEjB+ecEo5E5pme+mdX+ruKx1+KuUQ6lSrfQuOY+K
Nq5YhGDVUYu3rFYyLyrKA4j5q8RAC9KMA4dz0UMA6vrV4ABYADYU8KxIh61YxJI3cbd9A08g0eXw
1PhQlURdopOXNW1YEt+1yRLQy63eYN9zyKRZ8awtDbSFntPYDXoQxChmL8vtoGq+pxdiP5b9wcDz
usziSF/SGl6TYh2uxryalraWHaMcAyMqBsANus7BE0zz6vspGSpyGnVxNvQLZXxLRJWBtpEgrOsV
3vZ4GbLRdoziKwmmbwyPcNHYxpucxINbu5eiT4/lOOLCUO0FBvdwZWE8XYwZNue2fkoBZ0Ie2oH2
vTBadzbID5xwAy4HBwW/dMY3rZaPgdLu+6K5TkvlgE0VyV5O6F4yHHQXv4sqAOWY+azKaBPyMt2w
AyrZvJUKGLd06LVlOthPEUMrm1c0jh6FkM1iqGDBOtZF0474XhE0YeXCvKXi7rVGCVcxtV4aUlvp
DbQIs7SzrxU5IHBq23U4dRd4YjtEn8GNFQ5PJGkEi9LgwG2qmjy6AFNBbVRbiwl6RbyP14TDuYGY
4Q1xvkqHsF9WSaSt8tyUPHQFj4RjHVJJ+lAx+Mci1fGFtP7g2Upw9n0DWY97hp+91QeAWlZOAF47
pkAOymMQqNUa42V6L3uEv37fXSoIyxFRzw+2Gd/B0UOr1fVQRtze8AItfB5yevTWAB7U5xe80G9G
o+i2FdNk8N3tdWkQChrNy2KTcNWQ2BFWqDpBnRZ7FCe/CH18/CQUXkLzvo6oQBYaRaAPehfNmFRX
yI75u113Ni14twTtPeOiwmdbSnQmuRZ6VlwpHtOJN9dQOS9CGW0cF0beWDxbOs92ldrAGzJM1yku
VigMU34UxJUuZFHdq07me42DUzwbQQDopJkvQogvy4J3tlnmAuyZaNZs8p9bl5CKkhup9xF2NgFV
Oj/5guNOer2uJ4tmEMEaGAzfKS70HfazrRsYZJ2HOOT0goqvNbpbFv/XPWei18ROwReDe9q0TVgN
ysjtRpGNVoj/z0m76LJUpn6ZGPGBuPRizidFMC36fqEk1q1JZrtk3WwW5ikOytcBPwpiufieyQuu
OAnZxGrzS5ra6mib04Hzf1jAftvS6+8aQnU9Y9TaVcKI5b5K43RXT9UtirNqmeb6nTIaV+Qpf+ur
FK1xfMthL/YgQ+BkOe6ujoIrsm2+uFOy1RWkA3aIxDid7W+j0W/Z+zAHQkJedETv9HLmCtr2SzQU
OMRJf/UqgH7rsXBuVD+rVqYZIpedhnxVllnEs9L6OyHHJ0vhZmhgvMNXdr4MuZ0sHF+5iILgScY2
cF06iSEuN0VFWkhulyeoX+oCRXCwUlTzpaQrWCNUfDAEMIi4sk6itb4WhrXxy3TYToH+FguGTHpH
nIimyXDlDHm4tux0jqqpk4VgAbxiRUayYjS6i2pSH6y6O+J3jFb0t9lCKry1w1EPlrE99p6lxE8i
1w5JRDxME/mwyLsSUHTKV91I2LsGbgSdnEpyhrcxphkvcrAjiAavT6XNjCv82yvLdVA5IEOvnECu
MRsK7N5dt4TFgomQWfaoWHcgrlViMX3TyyrlSyj7W+li+ssj12NCcIm4ErdPy2olqItqibbi3Fg2
gbRps2sD0noz4d4aeYuGvHc9DGY9eDOlhbDN86QTeTYESrrE9bdTqJx4IGOBAKJ+LiGiDRrnOd8W
R0i8rSxBcmIVvfaMA5XSerMEEWa6wyGQ4cFK3OTNnr1dWqq9dKPcu5zkMPHMl7qzN5VDb50H6gWk
sRyTKlvpwUrugiwjTniQmue0lgf3gRS0Z+EElxQGxgKMbbFQ2/iiNCXw8DaOj9CYCa2BvoGF6iFQ
8M5h7f6i4mRYlK1yY2cEL2lZsTPc/m6g5kJrOpXgwop8VQEd97DeIbRIKj4O0kjElhKwXWHsnarA
HQILJrHRK/HcvVkaedTcM8MqSPS16Nr7suPRDaV6nQa5RHioH3QrwvVu4gzBkXi2In4j01Z1ysuB
97TMD4MhcyhiIASd5gVSOEFuUXNXDYgos1bcMku9GMb0i2Yo2bKveaXa4rnrJm5+Im4WLlpPWPft
ZUnwdS4GZyFGOjdswgV3bfzqUhuHnQVLYMhfp0xeQC9HDyinnaYxLYphg9rxbdnhZKup8uyEVx9c
h5bZT0/IMrbGJeiyjRjkmxVS0tnF8KBn1HxdrAIoiu9bBJy+7y/DJH/yneQ5btorw6gusqhRlwHp
V36HAzrVqy1ipJshVFeDSXqHXxXnoSYExHB3rqksK1aADS6wkWXdYtRDYrrSVSS7SzkUuzYqZ3Fc
p13UsYp5P7C15DrNJ+t+LCLLOVYKQUfXqcm6koAOrG4mYsz31uu/HnQeX/5zD3omOoH+o/17Ezr/
vT+bUFYfBhoccgss5la0jX8OhmlC2YWRa0G8sc7ygz/6ow/V0Km7TLksQzjsLOZtxv/q1JGwv0PS
CI80xGz3t//NWgSXwt/6UIbLZEMKFhQW/ymf9iLYvuo2keADBynsdT6fQgZ1yGLicAptRsVgWCl6
RC+u+BBiLwDws3+I7GSXzudhhGTrwFp+Zt7qFToCy9iaQ1sf+8Qvv5HbzChuPp/D1CZXEHNm5JWu
ggsmU5XhVMusuari2HggB7lZqz6LPc/31RRYm58fk6B0vzlksuJmJnpLVWmAghAWuGNlt5Qi5gMy
YHnuNbJBmjq0d0mbk11jt0qyVs2x+Kq3olmEeq29FsSv35sizbeBWbtLtNb1U8fqHU2kE61s6QIQ
iXuJCawrrwleXRE922BbDspl16tGd4UYzeheijoIjb1KZQTfsCmSdqO+r1uMwJ053e8Lmcqvc3ll
h2W+sAN1CFFMwwtx3tc5U4Pjtj9SdVEJisAIOXiLtHdsGCZdSQCmieo+2lsKUCi01OQgx51WMZTt
XSA0/vBgQTl9GhXbLBa0DPkaX6p5MbbWeG76YnqaEQygDrRI7IOewV4UEE7vl13wzJ0UgdKdpie/
DqdXKxruKXzWeRBdKDaz5kwlEbs36VyUsufIdNSW4GjgVfsABfFlUgwg0RvIvAtUlgqcsj6I1nVG
ms+C+QQT+6S6M+wo3aWueqsnLLCA9qM8nv1ipiObrRXX1tkJS+LxlMa9LUVlHQcS+paZNluTtMak
yq1F9loT8fGs2Oj09BSBbTlkV7GjkhTTdMOmU5R6wJlTVc1y8KPyzVaKekdUZn5jqU69M8VkPQaT
aoM64+09+AnZglh6DrVSxQ+qbyOrmezxsk6m4mFqB2XPzUtEqT2jRQPp3ztT1t/mc3nRFkN0VqKh
PIVzYUKyLpaJnF4Ps2JtqKsOARWJdYNZLwPJDo6gUNPaap326lp45FL9wh56/Xq0JOpotnPqazkX
c1WE7t0t69mv5fzvnv2/d/G8B/jnd/GBqN6/v4fnv/PHe5gIMySQrMFMDZH2+wr6uwWdxSCQbZVq
MS6cGel/YSupNzTaNjDpbOK+D+qFn8LokJR7JtQqf+3fGXvdv72HHczDFt4jw4aBiv/44zywnpDI
tIw9joGeT5cVA/KSpsCh3lgqQ9BNEznnrdZBXrPCdOk03MgYXjKQvW0Uvwv8RXpw5vkhcu6Aa8C0
EKNiINdujRjZMxlR2GSm3kyHRd8gfL/rWwDOy4m3EMCDxFbcclcbcqYaAckcrtvYBmobKkWwtk0J
D3PI7zRBN4avasseyeEp6Boe/pmAGMkMzaJSr/1WfImp7GVukQ2WESE1ipt8hHmiqtRbJMuDCM/2
eeVfqv3wdSQ4YzHY2FJpaDZtucPKibo7KGmErRjIlt3A3Carm3UlSt7Wh97SDdNdZrsn5g9gBQMd
RAMtCEUcofWuXS77jE0i7Z42Q1iitrtvcJkAb4HDGQkTjf94IulyXPdWR+5M65Jo0VUNr4BpWCYN
am5iTqbVaCJKdoS2IniKlVbLSLV3um+KMexhDsO0xS/kZb76bRjKgrKqXhPJto1M6t9MTS9jRyu9
SMqvrQnbO66gqbWIhLqo01ZToZ8VbKyV3WprP/G9bJ6Y+NIvd2jZSEs1imOsFTdV1XuMvGgmoUAz
wFh0mEwZcq7GNn02mCstZMgIVseBlSbLNDQUr4OaZrDEkzNGjVNK570KWk2mRbJ2ZtyaojeHbAaw
JTOKDZrgRg2CuxajNGpNcG36DG5TrOA02CyuDHJF1aq56FqmjZWQd8FMfpsScz+CgmuCYWUNsOHi
Qd0meXwT5N1lZOrLZKbIWTNPzp/JcuXMmJMwvTwBdg5uDoOrSn8tZiKdOrPpTCB15kyrC8HW5Xpy
ixwOrkzF/Lq6UsIS08AMvjPeEXiw8OI0+9qT3M7ajdJEfxAzLc/Gttn16XlIzB38bIaUs7OEDSuM
vZm2N83cvbJk86rPLL6w7+9yNCvLGEzfAK5PBdtn1Akof0B+OUC/uDaZDGJsMpvnYSb+Qbzvwdgk
JUMkxh4OXEAdQKAf03EUMzOwGINdMFMEK3CCLVhBfDGP1cwZhJ4XgzeDPRh3hgogs73tZi6hOhMK
C1CFilJcCNt9yt8ZhjPNUANriBp1Hc2YQ3CHzDVOvYB/MgBCNGYiohMKYOqDcqQmOUR2qXg6+MQh
SnHJwTbJAStmwTRsE1CLbUfXp4TQF/OZw6jPRMYGNGM8MxrHOVkvnbmNrhiB84NyDARMR3Ah66yH
8uhr8B7nuHJYZv06rccrFSSknNmQBZBIvOu37MjCC2JMacvV4TWJ3JvYYJhg6aXPtBnaZD2Nbz0b
vUU3kyj9QDM8dI+46+s5GG0mVgLMPZP/w60j9BlvS/talBFNzViYMFbCLQHIT1YICrOx8nw1WC7+
4eqgAspM8CotoYsyqpqB6ybkdXJH3iQkdvgfW2LGH/J3RDusdnuGtpfM2QUgOLDrCjOX1sKYoxm7
oKEBm2bsu6rFBxUO/MjeZYQLT/Yklg9/n6XxLmyqsx9Wb80MkicG4XKELG8p5ZdyRs3rrPkXYsbP
u7wXeTfi/Ohg09sFkPoYWn0+Y+vtHoB9WrMImZH2/Qy3j7r+qzvj7ttC4ZmeEfh5lDwMOlD8ATp+
MmPyM0cvPHfQSC6Aoa/1r70EqW/PcP18NPahlT0MI9+o6uJnYYNPrF3xlSHQPLxQvmoG+sugMXE2
2dhFdEwzdfHiasYjsoi3TuVmwE7+pZT8YD0yj6WZNiB8grxaV5l9Yga8CmATM4nuFRImuyPesBs+
KlbS8GrKDKSQxhxK1CnaYiIwwkaAs2RKuGuLBMOa7ww7ozfPWunfhzZJZjKNXjOYTguSp3HeI0Dc
1kl3q+ekjqHBnzCtyQ7j0X8d6+/W6p92rFRJzat8/cHadN6B/lEpaQLpEaGeOprguVCiiPqjUoI0
N/eKtrAsyxTUPX9VStZvLDKRK9mc/t+p+HTzN5sAWDTnM/zkfdn6L3RM9iwi/G5PP6s/UK7TETu6
jiIWeeDHMikrU4NRI5DHTJ+6dSl81AzCfrChshV2e6c11m0yXftjt4Eov9Iq57ptgls/nUBazswL
dgWs4ccDcIVAedH75DYDxbNUdUnMuMyfrQZH9NgHkIDirQjYhXG0YNaWvhd2oNc0oT4qeVc+q00O
jdpP+xWvOZ/QlJhsBGlt/UBe5D1WkVgP7zL8c9CWHiY8dmnpMPwGjTTGybUb6k/SUu+HbtQ8qxnm
7UoBCjaBV1DF+7ZlWWVmRXc3CucxAte/h0Dlr9TeRN9XxrdJmz6K0Z52RoZRsiYt0HKm7VRpj12d
HV3ma6Nln125SSaxqlxyyMy4v23D6MGJlG0virtaKsGFrZVLlzF9lndHNSYAMR0h2UXHmeqB0GaO
ygm/FXAbqB7J0bD6ozsDLFiU7Yxijft8EY4YNLVzUB0kPtQmeagQFi34T9zU9USHo3bL1MA92JiS
HPBYwyFn+IvCrOttBwCPtYmOG0y5tLKiJ4OeQagftau+iG9okC7h801rwwqpa9J0WxXpN4l/a9lo
NWAOKTYSJKgHO/w0Oi5sW44nwUhtE+Y4USPM2mnO9VIMlGYAt8mWz2IaEV8JrA/MXQucZ4Plu3MQ
yyUeuau0dI8Z8C4rNqlUx/iyDyDPklLHUoBgIgNfaypIMslnNEaAV9WzesboaWKg07Tr2ouiho2j
zcBwjMiSbzJCLBr7iZHbjjyaZt3WbBgFnT3u/evetmrPVvGsVPrLqMWVZ1TxTa5SM4f8ckqp35pI
0KoslSvUMs5lpajMXIoD0/pHErm/hjVj5srpl9AU/eVkWRyXcRvDbqUwSeJm141NseyI520jpCsT
kEYvCrNrvzZ0L+mGbaY2xVrScCxgovSLpNjpWhTDccdenBV7SK1XhgwB5IiNqaYYbKmnyg5v/Jjq
53jKH8ku3jdqfygmOhNs+BegdC8F82MtI5k1FeXO6ZznuA52bhgQOKSlC8uBP19HZ8bNtzjDdiIv
LlqS5QrL2iUiuAJA8pjX6S0qKb7UCSyhLvd6WxzaLmkYMgzXKShcOn948ezsp35busVOnTX4o4FE
NrwIDFEipNX3JTmWfS1OgrHMup0kNUdz37N/YfczUVY1V2ULe3mc7AvpajdmVO6TqNsaychuJs3a
HaOXK0PIQ1Da+IY7mAKMsKAUnOuivuNI3PtDfGhDYxkG400uUqA5PPRJymakj+6CxN6YQbHNrMjZ
ET+zYRcITNJuDnruzthe/drA5kyXeZ0pHVweUXlhK3edK+7FQK6eI9J06WrtTR+al62EFE5Wa8j6
J7tHLry1UTeWIwi8YaI5c/KDnlqPk4MaTOlXcHdZ6XcPuWy3tSnepjqA68zmc4LfEtEE09pNiFBu
NGQ2Xur0qbZ2CpN336CzbzYyUoWtdO8GcPndZDc0bbNQVHcfhuGV0aV7PxjBqBfBoffJQ4rcfNZ9
EM4n06Mi3E1VuEdJwioAmGGdVQJNpql+jdT2ckDwqSfKUfXjM1seawlv67lUB57GgNV9v1cD5W4Q
3RXRDUeREJ1i2TNfsX/S4Hd7URngI0cOUDX8FlI113kbROxHssdS1w+jS/vbRBJibryBxNgva0v9
ijn8oqq7RRiSkVQr16wcYc8ZX+wAyHA0PcepfZ7MJrjMzarcicC/KbP8oOTCZxYPD30yH9XS2tia
vzB0OETQKI1VLwdtm9DSalrwmlAhssebt/3MllAII5xUS3MtIn1jV4gsuSlKGFo41q1AbOusva/7
6FzR6o9t8MWX9RaFAJ1f73zN+2jDZ/4SjOldU4XdbjBOCdDFWLD3jmfIdjZsTKO46pvgf9g7k+W2
sbTbvsp9AWQcAAfdlARbiaSoXpogJFlC3/d4+rvgLFfKTpcz/I9zVhVOiRQJ4HzN3mvfhmKqXdvs
tgo5l82ECKQ2z1Oioutw+GjUk8IehS3HeO5a7SZOcnsl1Kx07Qq6eaf250I3D3XCeb9Kaqjuq7Yv
w3uDDQUPf/B0WgbGIWXDug5Kc5GWcCpCu+PuZEYBkGTBbKuCe1psKRg3lp85V9CcbFgKXbaalJBI
2o49kd+x8+za9LVDrSFNMMycMOAqIKe5hZYsB7AZRB1sPRCA7pA0HDGd0+2jZEjBQI0fWcVgj7t4
EY+ki+pRpTKBHuyVkSQPXe5rdOxmhaccjJAa1JaySCOTgMvUv+zVpjhlpdo8RqrFYh52skL6QG+c
6z6bMGFPYEj6RJIP15Hdsyr6idmzqlxCOtkjiLzS7Hgth2hladN9WnrXfsmMuNSgtCAV0BK7XWVq
+eix8J+tzqtKrZEwxMOmlQCT9KZ57aJ2qcb2k/T0Q9eD3QCHRJDzukHhyeb+Fs/96NpW8MKT9V7o
1RZOzEkYw7sX6RdkKxnkceDKDqn6a0V/BHh/YYXpgTh6nQo5JccDu3eBV73liMY/ACrgK/bWADuf
XzfsMBaQjnaFb14aQ7hVqwlBT7FLHTI0cxG7TPIJ+on0s9OnNyhRCRkfieTNstuMHFRGE/EFTedO
COWAamBJKbTRhnLXeM5GiYOdb5UXftEQxKFfJJm6r3ROWt0m87t4ozEGgOqfB49KYQQdMHnBqqIb
NsrmPQ2cSyXLljUX3UCmOyqUN1MXhIQ72S4X4XWlRSskIEtHMt/SU1KoBnFTxyzrG6TPSwLsWY8C
4wXz5nUA4Lxo1qDU6yZSt2mrPeIGQ1qiDmtDAcECxYnSAh1sRgDJmMSPid4uCXLyWbprKyfGnNH6
CdHC0b3jIGmypyuWaihjG/V27NW1HhUPOXNAOmcthIoSfvGqvENW0rerJtCPvSGOnq8/D6IxVziP
VtKzNpET7pxQOGv2zxddPL0Xo3FsCpW/uAd3YmpcLH7eG0yWmHAFY6GuvNG0T7ma7zPJPAFEsRs0
4pxI5TJphjloS1/XCGIWnhFAoGNcvg1G88noAbM4PGmw2Q+XA0hxV+nzh8GYzoViPmla5BH/UT4K
iAcLYbbrmCE7nnj+attTt8786GGJvuhyJ9j6VQKxv4gPBcrC2Femk6JVFwURC65m1gOb2ZROcWDz
PJYwu/h/YwwYuStvfIblm2RKd8wMIAA3LQrZ+dQ25OOgcqNF7KbdagB1UY6I3uPwCEdtKSMZ7Kxg
qi8L8AnABPUHliD+vq+8s1MnTyBx5Ha+3Ymux6yacZpjw9Of7ADCXCHPzBHDS4e9uK0WO78Qt2BF
F1NuCHYULYMMtHxpfFn6YgOCGL6nkX4QNZPwLNdoZu3buMn3IR1+zDiwS/phVWvN46iW1wBDQUAX
1jFS/WMKni+x5HiRDdF9mThPctCvEannF4bOuqj1zXytNfJpStna1uQHofpjBtPxi5VSXedsriG1
EbsSJXDWanBMJB7KVOg3qK402oiqYlprJ6PUGMXpprLS1NADKP1pLv4TcTWN3acGahY6Awhn+a5y
xkPB+urg+GQFYTEkEPVl4SkqcMdlh5p0Hkfe/PpFfjDj/edF8G6YyDRnO+b3XVrsDRValzo8iXGn
ZAeB+kSRt01/++uXoRP9+99iYTeTAjMAm9LvX8Zjh0oXICjctY8+v1P0f6A0/OT3M/lXAajP9kvj
x8+qdkaSlcw0OWU9F9rW9l5++/2TiqvxCfFBzfCx79+/b80DWqNMTzZ9h3FlOJe//v0skH/5+fzQ
LEszVhnf8/nIdIMUMoZ2aLmSefs7gOnffilcT+bswTQwKzs/fBWJzbywn/L4JKItyIxGLAoGqXLJ
MawU/2Az+rs/ADvTp69lvsQ/XcJCDdPOAit8KvQl8zeDvquBmU34xvr3/6jPL/TDH5VZkQNp4s8X
YiqeoaEK1pwj81Fc/MO19pP7ElIcqA7Q+yyqtB8sWjok9ZyDNzvV+tpLXjp0ut7br/+cn13On17i
x8ttQjWd+4bITpn9EnlPUvk/XM5oFcDmOnjKja+zm0/fS1SiMpGKlp0inoAMcJPx//DwYkMmTLT5
3Dam9oNYgUwh6ntTzU+T9dJbx3be+DT/8Oz6yU3DTYmOEEiCgbacGdfnq4ug1yIbWQKfgBCBQ5s3
Lsa5wy/Dqkz/hyv5J69lC/4MTbVIy2L+9P1rBfiC0NUb2SmYe+pVOPPYVojYc2qs669f/r+L4flO
+d+L4avk5e29+slqmJ/6NPCECimN/ww1Bbf5p4EnTzRyBE1OGQ6AvyQ6+EEg3ujzLhmcBqcpP/UJ
JYnZUuKABOXyNZDjN2aeuE6+e4wz8yQge8bcWBhFtBnd8f1V0o19Jxtp9adm6KiWmvgh78ZrK+9I
GXX8U6qW0RuJzxmCbv2WXUG07HTFu6Gk/FACsWYsK5n0A5b3iTOC70p7ZtGHhZX3WvnQ5IbEgq7c
ZtfSIRNQkO666TvvQF525gaF9YpD4sbspoeAe4+Wh/2EVqA/zIN0G1vFXi/qlN84Lz6cbD0l2g2v
5fYNUlEscgga21GFksZgypvMQxMjpzRhtWK3+BLV9kFS5Qk5nAK/3uYW22f4a2ctEGJNcjmrRdnN
Osp8NQOOFpY24L9M4iXro8U0lUu9bKMd9h9kvIW6JZotXTtNXoO3auxVSyjHSo8huLPsJEkudbZe
IW9xf6BqctxW11ctm7UFzNyQgORxN6mRXDZZgOdBTPeG8wVesltpw6Gu073VNY+tmNAvRTAYpU4M
aTt6TLQ6TGDGML53It91qrW2dBIAHRHc+yrLpDnCKoHcD0+aEzGctpFmQai0cE36ZOpV97livDLw
vbDymI5qck1IiWWt7lovPmsjwznfMK9tPiEvJH9ayYlbTZJjJZ1rMxSv8TCJBawilYizGU5v9Xep
Jp8iSgqtQARNI44brVWRnAzWBbzcW5LCiRiaxH3YRcmiz4g81r07AhKOzOQu/Cp2FnWSEK4ePA+d
clvoDG2C4bpxzLUwlcdWid7Yw8LPJA92WRVQiKd5rKDV5YeF40C0GOtL6Rz4mi77yKJdQAQgPxiH
rDyNP6dvp3UxK440SQY6c3PE6iSf+NZmiixjUWX5s56ZKClrchfG4UW2PdeXyjgw9TOGFk1+qXYJ
+X/Tg1PpKdBgYH6JuUcDtc3N5kunSGAsgX5r1P7GD7HmTF6JWKBHnMzU07UchxwpZYxcJQBbOer2
rBuI76OGD2nKwPoaAfZomWrXjVmssCLC90srZ4W1AwsKPLOj1ub3Q/2UlDude+4pRUWez+nIgU+3
PTWSZegYnMe+cnZePMe7WfWwkR2jFNFiBWhLNWKHHzAAUIoPJvONw6CibLKzF3iExTQobKe7Dq8j
/gryoWrIf5gKbzJPZ7RMC3gf4qNZSbW9gfUzLbxRQo2Uhuv0jNtthKtW5mzQB9SuglXdBTeW7Gmi
rNkfPM849Ke8M8gWmLjdkoBLmgxxcxEQ8oX7gFTKMHV92xlu7AKhf87IbwimLwgJFkBXbTckJ0b0
rdvGKZivgb1ERkQbaQo+DZJ1HKREMRyCjbMfQiNbB7bh4U1jKNo0O2TcM/oTZ0h+heVoXXSE00xK
zbCZmb7SNXsZZP4xiYe7WJo3fLrqBgPCsY6qq6Fs7xz8OZWOM8n3+tfalPd5rj+mwsIiCiowmsMC
SwI65wHsPe5YxvhTGiyZMx17r3MW2LN7UJAJ/hiQ8BDaWMxDCSkb44k+mVCKEpyLHn+MCPyLyLov
yhB3iHytanB2IrVOZuPszTYXeFCJJdHLniFE4ytL4amvYoiubS275Msr2fWTltnE1h2C9J47RCeD
p7eDFV22a06KdB3DgfRAkEXecDON3HrWxN8ZaDss1t0iDJprRCe7VlP3GNsuvLa5BB4MUA/3F4ky
yJaJ+3FImEwxS1h25MpUnVZe3Lwrc9Bk7pTRusGIgbAGc7jnKCvcAuNWY0Yz+d6LMqaXQTzdKSP5
HeowvildGd2MxH8vq56heo2hIIXK61p++dbTRDDbFQQdptldaJMAWBRv4WShmtdEiuGg2iqZdgdd
NV16Bd9GYnlrgv0IZPJsHhv9DlO/53pmS7gip0PRsHPu5aJOE641xqG9wbrAV6p9JdSREQUacQaF
THNqr6mdZy2FiX74tyL6ugSeC/tfVURt+lL/vSKaf+pzRQQjm/Xq1/rlO+csemZ2wOR5Aav7SmX5
JpZDmQzHgi5QsraVX5XJ/62IQGDMCArHAGpBDhgL4t+piKy5Mf7Le09FxDJZ00zeBaJqgjV+aJxl
4GfwV0b1ZKBwiLdhh2+qtMv4QLDzUk712Q6mBw9thVY2yab3nQe84/UinW2nub9xvKRYhDxiqqYg
Fj6vziYJeI4UFy2BAmY67PSBHJx2a0TKU+77PPR5ivknNXL8Qx7WuJYM6gdLZXYS12zOzHH6kkgY
YEj4CA317CfQMUQ86Eqzln3zNOXpttcwv+hGdxX2jb4iHxXIgi4upg6lBWbkw6wE50ZO7jOlHaFl
i/ewqD/6SUMAzcg4b+MAt+Vwk9oDj7ABzv6oPFSTNBfDVLoRUbdwdZ1jZo7jhSJj1LDcR0MG5H7w
OBCofvkf9YfhtYAApvqt6lQXnKiG/imEUOBJzU0DQAGI095E/GiMV0FtTotacCb0FYc0tEDPaiqX
R+gol0YMbZVNqK4z1sKwzOIB3MSLGkqvW4VDxVwy6wKEKlm8Rdo4Z64qmIXkUKyEB22M2c08aLOT
tRjHmMVjV6lLE1cD4r++ObNhVfnDkurc5XqEMBA4Hc8VPqrZKVtX+AmDMsKLkqELS0vzMZ8qjdIi
JgOskmQX5jV5BfMROzgEcXiOZ7BU6ccz1yb5320k3KjvlkFu5nuHieWC8zU8eIaI3N5p630AWnQz
wCMhnCDBulSCCUI+pXsbNW4/NCe3N2WArbAkWmurmspr1/D1IbWfA0Mx+qolVpKQxfxWCvMdtTdZ
v2Xfr1gj4hl25C4ReItyI0qubN2PV2qdQe9RRngh5KBsEA+DaO1qY4MC9D0dEHEjpAMmVCnJFQ5o
f88nx/Hh9dmLnbMU1MZQbD0Bu60WaIcyDWumrjZx5aoWZrAUYNFrMQKXzInEwHZZkxFiK9VFb+U9
SvG22jgBogXgyPqmQAO54svDOV4bH0jJIC6MAaBgqW9mTSkhllPK2t4pqKNsW76KlEKF0hvfY4rk
i2BcvH6YCFYUSyrOaI9MsShDs8g95++rSBOkfhGnvgpgCIvVoNvDGs1pFX0QLD5ubRhO55yCz0Uf
Vl9gMResgKkoKjHcJuSEsYUnmCsjUBzFQnlPaIq/FJPXLAitzVc1KA6jq58Uv3xI8ozyyHb6VZBO
wPDTPGcIjTPJGqN7NcuvorIOn0eHtZYW+AHLOBu9X8HIemrPmF2JnzEBNgHkL3dOa74HSffcCm/d
+zYxL47y0UfNLF8Mn3Ql2qN0eBxMvEEorQjYS6v5IeIc+Ch2bex85NynSst10aT2LbaQq1IN9oVq
WIusIuFQyDfNdB66RBlctRqw/FT2zq6qbT7VN/Xk3JWBSfhhQz1TthXqcxL9Qi8cN7rGlDjKKHZs
yLe9X+PfDa59gX7V8sleaXEYXaCLfyFBHcRjpm3DPNjHlney9f6gDHrpAhGxuVNQq8EloKQJE+jN
bKlfIzvLns24iba+DmTHku0ccObIvQkpcyHNvEYemb6SecgzS7QZM/ryKu+VG7OuZ7FbHO591pCL
IfeLVTz2Nm+Jim9UIGJTXJrACXr/nDIhXdTcLmdSEPXFJDBNsTiItk1hBCuyBZ0NLuzwOvGrwrU1
Vrk8YdpNHZk0RMbgbAqpkk4c0bghbE54wlgj0Wjkt3sY8VlxpXLlTBHqxcr4qEd/wik67djZngRb
/FSPLo12SFd6L7SNTiDbSheFt46JGlgHliGIuvNgf4s832rmYLhRQeUeJBMLpVDbaPqc5hPxboOU
u1br8cXiCyVXJEjmdBCeUoIAn02f8ZcaVWdscYD6JCGq5kaJ8GhEKU1t6RP2k6UIGHlMtX/Omf4d
/sxa/f9d6jy1r4wwf2TWzT/z30JHnY1WEosHWR0o/Rm9fBr9QJ9h/mbppIyYlvaX1s2B9eUwIkSn
z39izYGmf41+Zm0aKw/xZ6XzW9GppI/8WOigp6MGY6YKQQwXGW/98zAyaapGEFYnTk2UP3pOxiEW
68DmlBaVPuuuMwohUkgz6RznjJx1TtbdsqnlvsoNOu0Ms30oHeOymsnj0o6RvvQmKmmkofZQHCqU
I0Un6NfsN7WjWtfSfqub5AJOlOwOpTtiJuEWob9pa0YdmYOW3erlXU/BL8Mgu4XFxBqVZsDsbRIX
i7tKBfEuUx0gF41DMncQ+dxLcPhth7m7QDcVZGfm4FDaJfgL3bzwzN5ZNb1ACN8rHj1rBbc/Ka9G
r3mxWv/NS+1+rY2ZWPljUe5spsCLMleuSQ5MEFihBkjNwMFIyRPPGy3L9UKM8iwucUJ51DHYSFeV
o3+pQ5NA5vJoNxzmRRA/hpp+2+RO4SqR9l7ExrDCX3BXoV0Iy3rXmhx1KdnU8Fe/CEEwN0EdW8K7
zpnAT2RqBEr7F9Hk3KoRgCZjmgkomrgtrIjhFF9CQ+TRkmcHQoHGeBnbeljWVv2IEwyqUhFCZkLO
10txZSdSdQMvPIfEmC2UtLf7/TgKVHwZyR1VsRdmdrSn8KIbc3+nRzXicoeUF3yfi6nCA8w6ZBGZ
ibKwisS1IDQgm1Daki9MY7bnNEkdb+28QqmT1fbJ0YpxgzZOW5BtvkMO4hBfWL1rZScWHIX+WaFz
W0yhQZPWxcdy1D6S3BjNBT5B4RK46ByJ9OZxlc0Swdjw3cYgSC1LmI/4cX4KCM5aisQ+kc/aLDkp
QEuM8DhiSb47q+220o5YoTIs3hP8sZClrNoiklYNZRMNeJuxmT+bRXCP7KVdVqQ3oCrMoJiBSK99
Ptwkm5Ne6uneImlF9fJXTCObFrnoHtDGWbWLD8kgvQ2QYZSDvcxgmC1FU+k7k5FNYab7gUQN6eun
UY1PUm+HpZPgfBZ59CB6785IlXrLoJJxvGLRJPgGb1u79AqtBn7VEhJXImNvhbhOx2Yv0OuUcXQd
hv7KbJOnXlSvhlPlqD7UmsgD8m+quHXJbZ2hWxl0AT5cQyp7jjq5MQUjy9YZY+zd1qUo1TeIYLpb
N+NDoWvYL9ViXZApscgbyodx6HYx9dCyy8SxT/rXgM+aM7fwlpmJuiHXCJzLioPDCNS0kWjifVzY
mvfWiH5tVTNCJOnLJYabHDVmezEAjlmODgPVbDS+NL1x6EkHQvATXZYetvKwSONlDEgsCupnO+Ks
pP9X4+leVWqkQ+j5JolApXcO1Zy3yRt2/anrcRDEB7sc0FRM4rp29OexcQp4leQqh4My7JV4VHZ5
2mNqxxvaxeWNbJX3oIivbTMzlkUKhIIRq1fvPIvfMlWBsSWYZlV5ZetGOmHraYocX2Bpoj00l6Va
T4xGCStANCtAGSdopXzrFOXkCVAUJi7BOwBs/OFM9SlQT4g3m2nv8t+Rwp8jBXYO//ucvQ67d2Q7
X97/ftjOy4pvh60q/5Cs1DQ5UzBZEv911mLOMy0AmJKxAifuvIH55sAjy4uJFmmcqunI2Sb911mr
/4GhGm6kYHmuITv/rbPW+X4By26H64SRAhRaEzQY3Lnvj9pAy9DGtDrOtbwsC+tSgTICZ4CpQJ0K
FxFSfHJaTY8RJHqsNpCWTGsVF5TFAJA4OYJ1klOblwo90KDsDCPTDy0NnQsMIrtIPSe9YZbfn9pB
FpewzfK3xm/6PQdufCNVjMcyj9BDN4P17mmh3Oag/NZqVJHbY5Hy9cxCRDgMSDlPq75YsKrZxJoK
2jHJjNeuM9UPRQ+na602w5bIlAzCxQiiSNjOYirM0h00npu0t+iTAyu+StPWu9Xo6a/bQkmCGxEZ
0O+w4ajltJuKALpfRVkE9VG1Ml/jBVuBgpDHkVQBWlDI5+MLWTXduapUuxesLDXpsuDpxJFEmmiV
GmEZ3SnRZHBWd7FlwZIyYVf1lY5dxeggjWNn0XeyS5vVxLSHY6tZVGSc2E1RumpmgM3oKse46Aq9
evGi0KTRRyLFrF7UlP1lZ47IrDNd34xqHe1GhKKOm0/yelJBZuDDNfBoWdFbEyW0WSaZLgcjKpud
Xdphdz1hKV6PlZEBVgi4MPtD6iRjpmz+fSL8+USgHv7fT4SblzfiqKi8f+LKnSnz3x4JGEqooW2g
4GQr/Hnjf6q/bZOt7Ld/+VR/E9Wnz2SE+TblETBvZf+qvwUDSDAHyGnA9/3eMwGX79/rb5syn9Gl
IKyIp833DwU96jIm/0N/GoAdQIYKizUatGhVRB1c26FZk0RX0xEbsnvqo/SiqGlGTWFb7AdCoFCj
X7teZqvE+ZkreHEsssbMWpoiVC5EM70YnjYdCbp8782yJmMM82eReDd6q5iHrGPgM3Z6SaMMkJP2
ZRX5wX0T9KteZAQ7Ofae3Oy9rNSPeBjv+4AdpYxPZYIUVtW2TshK1omYyoSpXqATJWCddNfEHYQk
gddha8lO/D2yKOdN5TnulPe+m6OZPIr8oYf6QITtlzLFihIL5dhw/zOXyPCFkTW+6BzzdaY1scdA
TJ2wHGWFTMJ4C3UhSPOzZlIN5dSH1ggxpWybbuVXpAcf/HBHNtp1WZsI1r33aVbgZ1emilZbr+Jj
xppxGqKHtNQXHoVLkBm3nQHyUEQfoy8LN0y0s02EIK4NZkedX9/lSoN8ooUG1yZBsh4aHM6lw1Sj
goqQYnaD49LLbW2LaKlTuLIDb1la5nJapgR6L2sPfzQDidqVjb+NA8mkWNE3LZvOa3wPGs/OhLHR
yFpRDQE0GTlRclU5C2tzZogxfdh+AnaX1wOiQgRXm3aYQQRq6FZ6E6J1joxt61Hj3We+YvkHrZ7S
B9ylCj0LQWl8fN20HHQGyd0QMiM07I8aHeYQQJ1oKgTPX7cfzddNSEUu0xfMm5ZCkZU421Cq3tpA
5X6yREh/MWFn9umV1oXs80M6aeGdjai8IguSzs55jsMhZTxWhKdeRpqrFG1Fa2XfOlm/01PSpyqv
RcKpJttKVe+UlsEH8A99NcACo3EkJJXarFxYNTqfOnOA0/BZ6nV3GLAC3XIFWHisgCygBhquAIvV
K7vti1u/7F5rlD0XVqx1yI2D90JlTjfJUeAeUI+KnTO/E+hRwQqqLLmadlu1XrXVsCHclGaZEAlo
ZbexhuOhUMNg2cniNrcbt2lMNrwth4cfGluQGLNLXGEghmmEWMsRmbxDZi84v2WKw3llhJgMEBHZ
6zH0zH0zipfBK5Zl0N/bI72rnkHlZVoVub50mDcPUtnBQ+yf46jvMV+UnhvaTbbB9R2/xbpRbxM0
84uptPdxHwzbbkJ5UDXOJN1qwvtq0guce131LgPEpge7G481J9XCob5YWnnInZl21Zr0uQFjU1Yf
FHuCTqbSJNCQTqt/z6M/zyPquV+dR9n/c8N3/2fHET/47ThSzT+ErQrbICOWiZDKmfPtOKJEZX01
i/MMlk5fJ0XfSlT9DzZSIBs4KBDXMk766zjS/mAVBkgW5rpFTA2jp9/Ye9Gv/nAczeZKDXmgDjAR
9o+Y//2Twg4kVVAH2CMOSDEZAxtxSRG5bE0jhimV9oW2VLsJkPECC5SGdSYbp5sWCYvPTv1SB+jw
EgcZEPYSNl75HFmJql71ak14WtQxWVnUXeacUjrNva+3SbjDZKPdQtVQjJ1ai0pZOI7SnFJP9/bx
aIpmpcVxpN6ElpPIi8mfkvrNyXyzP1R6URnngnTbjnT1d/gKbLAyeDbLVqIE2oi5+nK+FmJNOTY7
mWjwNaeJjfQKKnb7PEmLIYlVBuJCax3voirLCOs6zspVADRmWZVVs2rFGF4A9yPq3JuKdhGRovjS
1nj3OX49NvyWxDIUZ0F7FWgMYMbsGbPDW2RiWULEmC4L03gvmvTddHLQdV1ayi/4ADFeMbEp/X6X
TcJYN7HSErvim4tOExzqfdyqRHP2zPERGT2oCrewE/fe2xDiw6n1TNsFMHovlVhDIKVWKH3KdqCo
LsqNRIK5rHhEAFEDIm/YrFCYZKPbQXDFl1u4YNOXdV97ID7SC7tlBgGN2jqMhjHtYklFEGrI56UT
bKAKwtXzIeLpox0t87qFN5TFbmE77wTCK2Bgp22iOied2nkzeuhflDqNkZJAAiA08FGSnejG/dQt
YHFvcnWGW0Laa4KqP8b60JD9ySPaSeZ0dvSSq0gptJOABnuj9IZ+nZlm9h4JWe3TMswe4BogHwlL
Eii76F/K9Z/5KTra5l8/tfb5S0kS4E86a37023MLyzaPAxVbNj30n5v3b88tKmzIY3Ri+Lm53AX9
87fnlv0HA2fuXl0gcaf6plX/VkYDt7Hhq379ZV9b9d94bOlfZazfreuhgDJkxzIudWi0P67rCdlL
h0GO1WlUaFRR2QBTQQCY2dHObIPsFErzQFcaHE2j2tBDGudyRIU2+eJa9+R1XLXv0Orhxg4Bnszu
IrDUdYcsjcHUUulwcWXqpZ2pDAgRpHRyeEX3dynIs1/obXpkHrH2mK3VgbLOR+VM8XFnjdmDwRVu
eyX3io2RENL2mMEPy92A8BZ2N/rOsIN7jIdLUC3nMU6OLd5hzJnHYS52HXO4xHO9MVhb96F/Z2Bz
U/iLVknVvzphc/DYTjJyfNZ9HoJNs888c93ozkUny6MXBEcnZ+k5MaYOimOLW0bP8VAP2oMlWRDh
fXQocRWGqZEaHckwXXUtxVY9uYHonpywvgqC9uD347JjFS0xIeH+PFYaSzbno8bOukpxJuEnbaEa
2i/wUOHpELURdTsF/Fln1FAbJvZPkZsW08IsqpuxBkPqDeHJNyyEndiKI/POqNPtNNbXqd28ZtpA
nZYdGQ5cdma6NaZ2n1bjti3hz/qQuKICigsWU8/Z6b68tgKrgI5fbBsrY52Y9Ie4xZunjuVF6cUv
ei6vncJcBqE3AkS1Tq3SXPpa6k5+t6tIZMXIdx05w04V3r1Mxzvf0VcmQQULyL4Indh3Bp4ol1Za
HkI7Ie67L3EHj2wvIB++WB0m6qIcNnZhUBIPxYOm8bRN++EVTJfjL6qKQ3BVj07PmVPbVbRlABPs
mryqopOcpgEPP15FfUOkYbh21J5vf67r5wI/L4GrK3ZxHedNsc8IRV7Wc0OgJqp+wHXVud0ISzkZ
4KpwImou04foWlM1hjbQv/CabqOM6TDYY5KC5yYk06Zpqc6NCbuEctXMzUo7ty0Y2g1crONNKEkP
aRwozp4Ol2WaGx74OKge6IEArIlVbKIcieiPQntErR599HPj5CjarUInldu6S4V7mjRjLem0yjqG
mEsDI2nDwkke2GE+KEyUokM1t2v8tzRuBcewTi8Xzj1dDnZnbvKKDo6mNzd+09wCRoV89UEELMTc
HhY1M1qi6I+IObBJDtEXR6Gu7yTaMJDzpRtr9jtgv+ds1O4MOlDeP2qEXNTLcW5P9YKOk1UquLks
Yk8TI5vsEPcW9LW6HZ46+lw77e/lMH60lthH9MHAYQDfKNh56ZDDCUNfmpRHzrxync5ttDY31Dmd
dVYExNs5cb3Sgk53WwlVlvSMx55BlVuX6Rcln8WoA5NpC5XROoqHnackm0hg2Ya7ipQHvgFWvFMo
rFcWua+DxBxQDSnXrWXSYhHzbAXJ1rcpl7QSV3XBorjUtY2Xa48Nptk5/x2Br7EL/bZetGb4OPo6
v1yRb6FXpq6JjoiRwKsC8rXWGHINnoBZ4T3oNFEM6xGpai3DCGybzAk0BOFVy4S8uA161LAiIqoU
qgF1hec96shMFl7hWVxf+rqczZOO03OLkoWzzHNuy4o4K96e/pEKDbqe5zuLFr9yCJmXSWa5wx9t
8t66fWHXpyFFITCySrRTfdcTOhM03X0mxB6SHX5/xSH/HWHtohXDZRyIm95vLowsuFVHC55NhF+/
igD3y153zUG5DFtbZUwZ31UBW4QwLSyXuAMgQAHE1DVYbT9YKrknF+C5BCimLthJ+mlEGECMha1s
wDmgF8pAiGV1mq+HFgpqPFJ3Al+21CE5h3kX/jvj/08tQmnw61rk8NK8/6yD4gf/W4lALiWlECuF
9XXMzz/9txKhGdKQ7hhEujHWEwzYv1Ui1h+49zRW8IYpxBwE97kSIWUKz48Bkua3MXs/9k+MCmGK
25qhsZ+3tK+hHJ/6p7rt2zI1x56Ug6uKPPQRefqnD+Xq79k1vNNPykTboKBikzErFBlcYgz5YWCI
+CfWW6ttT+DF96F1r4iTg9dcblXvqu+OhFP9+vXYc/zDK87v6NPfNDMFQsY1LYbOFsro6DfOYqxz
DdW5n9fnvsrtfdcYxdGM0WHX5tqMUOOBEvUMhOaNxVAxM58HzdF2pg4bY0Su5Kp1jrrZDi6NHEGi
rcXLohIo6+MPZ1Ae55jFHJIh8y9mYlAzZ6E+iiwipBh9JNAEU8CpgDTMTT0m4dowLH3tF2G+8cYh
YwMYAkuoUBLRX+Fk1qBs9nDA2vDaprojWTAneAucfunxLUXwBzwk+mXfuHLUF5BKzh7cnYWn6Ns8
V686hNiabe4y0YaLOPIv/j97Z7bbRrKl61cp9H0aOQ8H6AaaMyWKGm1JvknQspzzPJJP319oKEsU
Le3a1AUPsFlAFcqyMpOREbFWrPUPGWSIRpO+lkDFBm36vd1oyGf5s9baVGMFOaugBmGXY08VGP3A
N7MOAn1ZTV1/fZLhv3dp1TLd9dJYV+llBupqZhb5MKRPjoi3L9Xnm1znD5oE/eXT2NMXNQDtJUhL
Y6ZXNT4PjVb8iGR7YXISRkpjkVvBvI84FTsu6hjRcr0xr6ndAZKjsARbXthEBXe4Kv6MAQqOO0M/
6XP9CLbEqI3yRe12Ywgic5T5zmQ4L6lbjIJ+vaBEu2jsMhvVm0QeekZ3XLXyddGoY13PBDRy8xWx
R/Skk3W0DJr0LI3qKdoHy2gTHclZZA363KTKVAPHpE2Ovh0QEKB+8bgKra+c/XEHltDpV5O8mTdN
V4ODUsHWBsV6ESPJNqmwUokTwnt3qvv2RdWAxFCoTyC0UU4UNAncODhrUumya6EBSLwWFNrGduAM
rKT+afmcexUzPFe9buw0Cc40vYLeiTmC8H9eN5kPSIJaYadPu7KdyBxWa9OGCSKPsiy73KT6WeJi
x9T14MHqOGov+rV/QXNuDu1oZOf2DQ6MtLqNEo0FSRuGQfkrhVFELw6QFwzxDYgWmL/06dt7ufOO
U9RICp2mMDsYCjaoPWlaMEbwDoiBd+YH7YluIHxuJNNeNsaxBX6hd4+rKpsh24+8XS3ERZYQsEdq
J83ZKM7XtkeeFJDxabjAUZP+ppcVFCrIuEWUUk004vUsQpJzXsZUbEkIOMtLR1G1uaryjup/XJNF
ZZdhC1w1BBrSUKpG60VdOU24QqcHZ6o4RNkfFn1XlWsAmx3VXbe1Zw/bzH8AZOIs+m7Qq1d/DVbl
j9UuA0jxy8+BD5dHQopOhQ4MPD43RLe/A59Md1uVYd0bdJhokP4OfMYXoQwOnh6rgi19Wbrb9KPB
21Lse5Rh+wdn8NdBgnAE8h46In1Myoe4qm01tzVfkbp6nehLHyepatn3ty+GZUfYg/D4KgyJO8DJ
xo5Pg6josKHzJV+GocatdBRN+maJsMuYk9avNbaGsUsHpax/AdEalbiajhKdtowipXPIjrOyCHES
RIbAFIaJGUpgqQWPpEJAtvEnOs6KEgJTA9VZkJHS2qgjiDR+fKq0wo4R74VCO/USYdPYw8XzGMSh
4dOvmmiIlFaDTjbmvV+5nILkE01LfBMz1wACvB7EPws1dvEfgjWuA0KHkuRJNyHrkkqefgdwCCs+
BQldPfKLYwUACcrl9qmVW9I4tssbB9GsMRxoTie63p2FPTQgDQ/EiVJynkBH7rgtg++UJxYGjW3H
SdisPdwh4zSbpSkhAhzLlWvEU20TnNj0BdiM0u+SDAtG0XuAUhJcT4cuAPovEyqmIxRWLi28XiQk
tbSCLo4szdK8OarxMhgazfq8j+yjcIOnkofOFbjvo8KyVq4C9QgPg5nnSLC1glWNv+OgEnhuLHBj
LzyVoDXh4AP2TL2tIu/IaaxZUhgLPUVKpFTbk1iDkJho6MliqoNLwSDTnW9hsKlnmyg+K90MRNbG
P64D+ZajqAD2hke60HqIFcx+Nli9aBv9MkDPcehXvT9u7GC+jqmVGKEBWC80p3IRIHRsRt8b3aGx
iaWU7FHlTGskh7z0qN+UKMC013qmDdHBWpqVeUuQPY0C/cJPEGVthMK83p74XTnP4CF4NA/ROyL+
Od0sbruFr8aXcMYRcAvjaxos3xABvzbdZpKV5pG9MSZSX3439RrRsBpNG626zfjy6hqVJQleRxRb
47UF98I18O7sF3mHJGxTeEAi1rg31HaFMK2FfJdpfWcVYIIT3nounqN9VYcT3KqYNsWvdRbO7Doc
61r+vSnlW0lCy8ZCRi6CnNH2zlA24h+byD2HU7dBCcZbRGEZIbyZwyeRrCt/Awgux7OLxAoflATI
tYIBjJT7HNQ3lnFi9/hfBCgF09JDdM8wL0NHv2nyypug3gLNLxerJ+zwPUOQpMltDqddMTJwD0HY
y7joMUodNggLH7eeDFLK1KqxE+ftAJamO+4qhKlrFWUbhHllEw4bYvT2D5i07dgHwZ5xQjcb1nfZ
ulimrCVKOmHQBsu+DMxFQZoxoghAdItyb1hKQs0qzvyR7oNOjBtJHtcbuq5p7UYXGagAyuONfEx1
fmD7a3VQo7lUc+TO9byapyBoBooGjF5Ri2oGQCgce0GzwJuZIBzlKYr8xtTtNw7cRJWQqcf5OKuL
DPhIEJ9a4HQiHISq803LN3bd/M7YrL+VrrayomLG/kYdXkmGjiJJ6AtLC5eKjajrGIPINKiOx1ly
iZmAxFK13Pi6idKLri07VBDNUz2wB+wswzLUR+B6mxEgx2OrsNgQFR7a6s7TBheVnLoYe9QRfqEz
sPlIAofDfFMvoMhMfcM/QUnuOqKkhHvBUQdZaZr20Xc9RDCqCuphZ7vmsQIuGM3UwPqBaYA6hApd
odZcdMlVpCTdpEV3TKO5ONToS4Jv2UQc+YPyZGNHS03NAbFW50qB/mCMAlGf0DnYdLTJFWuu4giB
Ko5ZzuM1Ol9o2iZqQq4LiwDX2gbfsq5OHPac5qiTzex7qtcS+6/0q6h8ebRuSjxSbNH7zE3cs7SY
swFSs+0My7N2mlLGm7L1+9duwR3UJr5KgQrDQ5Kdo2ZdQqEIPSAABuwJMGGwJlBg0jPryijwqh0g
FLQZJBCNR2vdpesdFVemu76yU2Nzs3FTjLWbrJpgUaMMLHTnaswLprmMICTk3GxIiwlQU2s0N2UQ
25PeXuMPhomLT1Ty65lOnW0QdQA87KQcrZPs1mzzOWJsk94CS1pliNlYR1Gx/ioDAGkDoBpZ7n9t
YvXKbgoHKCXYzAwnuVHmxmtOM2EHnUa+pemujbReL24aM0fuLIORhf9hdIFGNoxXV7tRe6e+xPmi
x+xOcoYhba0PTom0NF+eSoVXLQA6Ug0HaRZkC7bPiEliarYXpss6QgGv38wNDlFdWU3ezwLU3ffh
6MuBTmPZbycBtYXzI83GZRLHJwCkv7IrndlJ8p3tEujX2hEKZfGs7fNJbEezSvUXeFYBUE2P2akW
hlvRw4vOfbe5MAt5rPm4QEHWTz33PmvwVFizBPSNvTTljwxgdz45KEKcP3UD2D+d35fpi5E0WVA7
UbrEDhCw8pUAyvnZB3o8W0oOjy6zusYRBvSjRRFi6z2gAJ+vk6hpl7kHHVEy9bmWsTHIbkHcaFsI
8lJ7I+Vxdp46zEFHnoMEF1KkORuVJp9vwoRz1KY5b3zNuUyJSk3WcqQE6KdDBBgaargRDMdlIOGM
5FLH61TWjZl0EFFgigs4yyqqMbuOEU3cAFtwK8Uc+3EQjaNau5NKdYKxMeh7rTDxJ3OUYVbA9PLB
8RCKSG18c15s1HtIYStOVpQKIQb3VnyCiCZtRGst4ZnWhScyNh+DTQ/EyFOoF/sOhRYl8L65jZJc
FR2IcUfxFkaCRGJl5niDKN0Y7TFwvKiEUZWJxrmsntKjT0f9hiOsosULV141uJQZ1px98daWAA5Z
nTJbYx4D8t+HWgfXKzfLgSbJo41O6tGzzOAv09PppWRW1lirJkp/BJJxhQmgf0fNYiqblFyt2Met
V7icVsUEUT5qoGp/kZhmDDiLM6256Y8Lq3okIN/1/8+7z3YkzdTyt9clTscsSJvpIFpkgn7ycta5
mpSl/KxeUgFbaU5FDTlv46Up0VFhP/3uVdBJ08ofKmY/soMHEYv4hFGB1OZHYBy96qRG2AOW6ImR
2TcQ4/1JlRjFpGlkfZ4YAMi9AEn7Fh3WsZzpyYzuMQ4JCm7EFKjJR9iIEGylKGMUl14CgggBxYxo
QGkaHCbqZ8XETDZ3ZWauHMw1gOZnFsqK6lcTq00dLhUS+MoIHhg9ebTAqSebN5BR53hU/0TAG1+G
jm3AiWdm2l+5DmYsbYmpnXZpwhjb9LDT1uql0bYnUehfFoFxgbPD1FzXN3YU6QPyRnlsFsgl+kU7
pn6HobvgLmqhNJIpHI2gXq4k5gSmQtqtokk3it9itIxd1ti35Em7wR1O6rOxopdTWQ7nTtqO1Ywm
C8YJekRV2ba7YwuFik5pK8K8wJDVV1qXLx27n1eAXCGF3RUgUFPLHKN4QQ8rHUVtdIpJ2cJKzUmH
Ab1vIZsbAOxTneA8yqVojoLQOKvWYzN2abCR0GSmx7mExdhKznlX1L8CS3IBxwlUIUT9uomGZoVY
CngOaEALs9KmgQYF0haO8Lq3GXYiQ40acAUILkRKd51lQJ6k4AxhzIHnIz4XSccJUdzvPCiU8W2b
V/jHQgGZ6xT0FKJm7HbITqJYWSb5qMEPB4lIGBcwdzb4fFtOkNML8bphJbPpblRlEtIWRbXgzLWV
mZfWEEWLRSpQjHUdSyhZdvlsHVtHutcd50LA2BBUVJiatETRAfNzyl8Vp4QYbzotGVNbE4LPZ6Yx
tlDg7+wlFmjmepLR5LLaa4o09BXkE5rAJXAzfRH6HVqaGKgdY3xiDStEcoYWZFLUaVAQIG+YZesa
hoVpzcqWLMTKUKiwoB+3bql8ENo+WKmaOP6+rLL6zhq+a9RQRaWmWJ0koDf6FtpwdxqVJwonlvdD
6VuNs1c7g4DRv74f2J00YWfIsnvF+tn2F62zSL0bGoLv30jU1l/nBsJtHQk9JAGBuuqGiIwvvllX
4faOtGy/3GCvPM4DdB0DVxXiKdnczxBvi/oW24wAiDcqSLA6bGNghhlonRD8JW73vBlF+gVc97xP
NXtAY/6bFGSnyLJfxqRvnHpgpKmXvYd0ZFp7E9RSvqehfi35cX7hNVE7Nny/niZGc2yE8oDEYrxG
rWVIijdNa826dlTnMkeWlUrKUaOhIaKpgI3WcyN3TrvIOy4J2xYypZEqzFsl4XIx7HPlOsnLcRC7
8y5Hfyju7QEspdVGXhvDuPNui94p0Zl0ATHhcP/BqL6utzwG+peDusXbi0w9RV7J7pd2/93f/Fjb
H6jFfXT9rcAhSzE5shetl4F9mYcYbmpfP5gW788Kc2v+JWYSyZHqrZeGegbEdMAwyf76sZX2xwAo
RuE3LuR5lCBXkpIqAqXyeur1VtX5FXLbSwe3k/qu7hJykq9Bb33wNh7E837f6KH8pVmIaBFqHVJT
ZetG6zCAe7vJ1SVpzB1BbXQVT+AZjuERD68H6eB6jvLn4sdFMPS/9eMVUoI/WNHVTJu/P6qqqLP9
fpDHb/wy4G8lgE4bOLnjsY3Uk3YkD+G+XzbT5NyfOGNnGFM0nzLOE2VYDtA3GDs02sf6Mr17/ymM
XU/xcnaKzefFko/dKrZVfFKWN/1cHVuDeuKcWQNaVgN/NL02hgtzlEydpT/pZ+mlMbsCQDjtZ+x7
g800Qx1qROls5IykRTNLp9WpT+F+4I2+ZYNmKQ/XU2PuzLPjblZ+TSaX7z/6drcLZdHXu9XWAEpq
FWBGHTAvB9kgn1T3sOOulBHSPyN8Nkd4oEySo2x6drcYN3PsRPtheEQ7/ShcQlccumMzGvx0h9/e
fyr1dfHzeSL/vYeaW9EhoM1cWiZP5c+dgT/czJKpe5XSWqHHPoDjPoDJOYinuHHO1O8U0sbv319M
3+1ZhQ7K3+toa7dhq5Hw0Vr3S3mTja2uO95I0bJtsDl9/z5iV3nvPlu7jo14U9tu8Iggpx603Z3c
zzpYAKiZyGAL88n7d9u9x/39rbYPk1LC5m8UYbOEr8TJ7yL3zve7wdaZT+ttdM/hCy6xs1JD6oDO
R93gD17MAzDuxUKTktxOLcSRl1m+BHo5ydWbDZJj+32Nrc2tUuIqbK2wXvbirWxiNFf+ue6mWHW/
X8XWBGtQoGhAWKyXHbbvAeYrEdD95Oz97/HB7LK2diXT9aQ1xTmiQW8OdScdR3GN52gztDB0Cjt1
2XrBB0O38/0YD9BJtHacbTcZnG40Nw/qZqknv8pwgnsDRb7p+19r5zR+cY+tRRN7Ds6Tvt4vjRAD
Lvk8ST6oKnx0g60tcRMlvRZmRbuU2bQpRkda/MEwPcTH9xa+CCgv5rEf0PRxY+YxZ4MB4PGjdhad
cEQYHmHkPPZOm0HyiPj9Y2ogzG/f3WvEt35xS4X6n1KrPjHqhsIwFgZDOOoD5EtWymIzbwdnG4zD
CN3GOBliVnouDS7qsYjqZ7fFmXbEqR1hjfG6HszSoT/96PF2BvIXK8Lcmqx2UHYyFhb1UjkVgVwa
wJ3U56kyHERTfXSdDo5gIR//kn9wOCu/ro8BU32we6lie3rvpWy991aqTL9w1uQSI8ztRvjyqebA
OY5HF87SXMBfGt1i3DZIqdhOQEJO7aH0wQ790SM86HS9eElS3+A73+X1UjrOBv2Iymb405goI+u4
ue9n+ThZWFNpKv3ybrVhP41OcX+/f391PRy83hkFa2ueRK2W6FXK1IRCM0GrdxCIrG4eDa8wzpjP
gQ4ONss6GVzjbjRKJvnUOkOXdNSM/TmK+9/j4QfPIxLjN8/ze7kbW6mALTn0hlK2lGIMuX+Km2Q/
2Uw2i+BYGdzh1TSJhvY8n1HUW/RD6+vYJjvAz24aTS6DkUgSnpKD/7TuBbbqndZ9vUqDKobu8RY6
L37zuW8PdB5yuRCR/1vL5e++PVJ3/Ah8uKEJ7g4L8BmwZsNKp4ALr8eir/Pwo9/QeWFLJsjqCO3j
efaPKD9QhV7NJ44utmwjTgzNHeU8mVP0631QsiUtKvs4O23WmK6chGpuhEtFl0N1XNcJYmBB0dbD
JDaWRl6cNb59p+OQPS7V5KpVoC0mSrIo1PIWwM5RXKUXQRKMaknNKKEh8WsYJ3mfof5gdVMEnjBn
qKKFL3fXWCDegzLvB1mrVujNmdk5HloTJQHw5VMobag/IuBKRy+uw5OaU3dv2nR9tDZVfqhoqPZt
58XoZLW2MoebUAZHamTW3jRCRmwzkKGPguvKNTSZXEnGQ1o0WyyEmqaFhcImviz6lebWFsp0SRc2
9NA9X1+UYVDdhp2bjhrWvToRtqSbYd3gzoh+WjjkVFx1Y4tCJLZmAtEdpVa7GRcPSO/kAfWNv8OP
BvIUpi/ptSWg4RBqocoIsDio8dyFLmUJIHloAymHQ3gSCJC5WtU6kjHBuNi4HM1Aomdu+1UFmS6V
m3kNUr21kmHadnO6wiNETRd9Z5w6cNQHNhj3MlYvMNlc5VJ2DNRdQs2jOaEcBkwVfLwtgPKlo1y0
jTQ3QdCD8FraIOpVrYQP2c3wjjjqQNx7IO89h/YKSPwmw84MZL4D2FgFqR857cgHue8q3qnpU8ws
4vwyBttvpcEozuVpB+a/rG16Ud0cCtR1YqF4AjfAsSvabpAFAPWq49D5lSpoy8Im0GAVdIJdkINM
zyosZ6ozJ6pvEUMdWfjM5LAS6EEsUTc8tWEr0GBYpkAdK1gMG8inLawGPRHCNTqayd0Ehbll6GbL
ChYEvgeTBlZEaIRTusPfVSOc2LAmcq3+4WW0dMWr9yznCnYz0szK1IZvQYm2HjQwMBoVCYIiXJam
ClUEkeON9NWAsRGH4PppAo7yKJlXFC85sgwcOB4OjOc2ja8tuB+Z7F/UcEHc3FhocEPQLF3KYYuQ
81pZdLBHEByohw58kgheCTLDR2i3D0sfcgK8E/zAjzt4KFkFC9Zel/elpVKb6y9KQVlxvdY4B3E2
DcwOOourQ9xSkZKPKT0nUQzrJVAzDQpMy3gZfXEqmwbSv0ypRmgCtpU0xGUvH+WV83PtcaDr0TdO
tIUVeOd9UZujHilIvPCsEbXh73W4Zvpp5ijP3WlftOuJpLkYecYnnYNTgZ00V/DSxpqk4aaq12De
sw0cBXyx8NPRraHkA6vJWykFDK+cuLp+oWNYCt8FE62w543jcH4W5tK00hNKEWE2QzRJGkoVVihF
r5zUYTNF/3BoAFWRO6yomR28LZVyNxqKZxjCAgzVq2NVA8ThryvAgnhRuGB3CmmqaN04MfGOVYV4
d5Hc5Wi+TNSNBHqu6kahu2awavPciO05ErnaqMxCEKORi+TQBuqOhK9SJqvOUPUNQKhBvqC934Bm
lIYYyt/Ulk4nSU3aoZRslmgDnfRR8NPUihDehooOON3eXjDk07C9MFP1G/rWR5JB6Vxq4glcIBSM
gu6ESL+GusAOkEg0B5w8bUZq4TaDLqAzEjbrRVYoCIBqwWkUFV9bs4HQ4vdXnmkw30EvpajdtXZ0
6sYMDegkADFl+NVpk3QIQR+ioiF1CzQ342PfMKPHbOQ/sd8gFv859l818aokkXyj/MZvPcd9+LwI
pMk4SajUBYF1/MbrAeWjSIgyivFA5xVHk+e4b36BeQvPF76vTEwWDbvnuC+MTh163mQMSPSboPz+
AV5PtV+XlAwZph5eGsh3828FZ+WtUz07vVykSdYsEVenxRo036GicTyNaovoGY/WZXxtKG4wxHr4
JChxgTSUDuXHtD0DEje3HJcziYFPmUM/rJKCY78JT3AM7dCICi5RM/vZyrgJSFlLM0wCNep2Kj6O
UEpd2fSGSYVtWi9fdxvzu1rpN06BFKrtOzrmJFBKHGkzwZNKGhedD7sGqguyjrBGcM8y7PR7vs6+
tj5Co1ld0bo2zW8lwitpn17XjnTtpmtsii3O9sFJG/mLOgu+V5mdDALHOis14w5XA3uc8MUAwEJd
VVUkw5TsNlkDjNBDDMbwT46GRdzNoOF+XavU+dHSmeg6EFw1ROFb7wK84iT7J/Z5xogyz6Kq4ysM
30i+PWNsRPZFFjg/i8o5AwIOyb8ALyZ7YT12u25p5+0Nam93bp3duoV6iln8nY4Y9bCJSm/cpJ01
q6zkDArTTKgKY+L4PVYBQuWxTWsVr4FBl2d3neKcoP9Tj5I1+OqcPRDUSuJMyNdAtCnWAmu2o0J3
6ergOBfk5WQNEF0uuyPPcWaealysNy3qq+G9lZRXGhJ8cMhu8POG42PxkLwkRy6NQddh66nKKHti
y2aiZFyd+E7/i1CYjUitppnsysOmDBG1kNVr3TMu9Bq7UDuIrnRP/dWoZjtfB+LXwfRMEEO7SaRm
VmU+ORnu400NrMtt6nBKN/wWvH80UfNmyaaLvVZkxbTscZOWdWlgbqKJbAESQG1xWtQ+mMkI/FiT
89bQKQEhhdpdowfaoNjYEzOoQNxX+XHgJsWRgI2AEAU1ZnSbC4u+fJeSIBQ6pqgbFzuGCOKRXCNN
am8q2pYNM86wOmlob5jE64p3mKi5hynj5jLzSu6a2hPPbSeu3FxubO0o6CJtYKnImlaF6428GNX3
tonu6qy/sZFjggKd/5AVjHLTzEUBHdExvNYB/pfSMJP8mYwvwEiyAJTLckZ/Wp4qMkJLiO06MxJI
DOpa+x7H+oXdZy0UOAzgAMfNTQ8vPbVBUNBLelwBDED9ZTBgNibEjPpH1TjEmVIxgbXkm7OkN9Vj
PcWfvYev681jFaPgURR119gQlu24lCo/+MYwuPWpWgu/QTMwtInpJnJ6ZdG5zpAwyTfawCljgRqw
E+sMKnpgnq2LwD/Tit67BXU0rmKm0EDwv5c5ADD8LMn+un4gE/98y/Eu/UKWkIgx+nM5lpC/LgIU
QKxWA/GB7vCot82qmEO+c+EwBP0DZV6LEXJfa0Oli89xzeoLSP6aehN1GHSdoAwomI2xr4x607qT
vQY7kMhcl5QMOjdzhHC9bhS4caqWdyXXVlzdqrj6UdPXkP1DZSQx3e+REWB0L6tlgve40zf5/zfh
8imij1b1apwiG7A+b+7L9cV9xTurnuOI+OlZBvL1Kvv3/tL7F3oKl1fr/P6//2v1MwnSUVDVZXBX
v4ykBkFxK/Y+PNPDA793iXjF92p+cm3N+oKNDbKPCmpv4kPsRYjZe/qxpBCATQXdJyIfbAk+Dzd8
MUZ/GoX3v+DjcL7/d/78DUTu8PBq5j//+78eGXOK9m+MBNd5MRTGF2rMwr7O/ONQIGjlIE1LhZGM
59AGgYbcvzMdXg+C9YXKBskUqroPH77qq/mgql9UyjAoBB7kGJALkr29Skf/lSXxegzsL+BAYUwb
YkT5kFm+GgPWBAIzuJKJCucBTgQEcHjkPQdB+4IHnugz/WkQmCkGjRpTbBkHOQjK/oNgfoEppIEO
FfOKz/buSMUSBzxsNITu9EEOgiA/7TkT7C8Ko6AgqvQ4CGKxvAwRDAJppAMdll7kYQ7C4xR97Hj9
Hbo/CJPbe4KoJLOwWPLb396i8OywFJ6nyEGOgYBv7DkR9C/ocUEq09CqER+m1quh4ByvOpyTBZb6
IMdAQMn3HAPqEQoznSxhd2wQGj9kEHDrD3VbFG2w/QYBdyHFMk0ZCYHHQeB9v5oIIknAdohhQMCZ
z6EOhbz/mnC+wIfB/xRL4ofPm80REQYWDT0oqkaHuSgeH2y/zVEkxpDj8esTn+2EiflAI86GhPIY
kg8tc+bdPYauPQZBV75gV0QoECMhPm8yZ52pomtkzo+70OENwtOWtccg4MSqiI3RQgDt4fMmYdIY
BAvSsxiew1wOjw+2zyCgiaw6Jgymh3nAv7a3R5ncWiTXQmKFz8Fuj5+RQIMNMg3oAE9jsTUU4ihl
ozJjC5zTYc6Hx2Rmn/lAziBEc+CabX17sS/S+UAh+1C3BH3/jIkzlEUugCvz4xTYERxIq20k8w/1
+CAEFvbOmATrE93yN1OApBq5cCSXnsLGgS4D5XGT2mcZqOx6qi1Msx92vbfHB+OLwVZhkFse9LYo
pIj3mw6aSZUNBRIZZdvHz9bGoIgzN+YXQI0OdT7snzqbX6ikUkvUKWM/fLYHgdIzP+Mkdai5wlPQ
2mdRIFXDgkCt+ulMzdzaPkrRyVZgKR/q7ija9XsuB43+v2zgIPG4Mbwps1FYgDMkMxEOtbIg3OD2
GwRh2UvFGVG8p0HYrq6IMhs/FjDIA90TtP1PksQIcBvGA/361TpgCigII1B8etotDnQMnvaqfbYE
bJaQItLs531xO2EiOCDvRDmSbUN8DvX4IPCz+60JupPU1i1EKp9eOjP/1awQhSYVNK4DxEfc6/DO
1E+NgX3mA+gouMC0IJ7Ok9vzgUEQUl8YVRxqsqDvPxMoLGg4T5EMPOYKbwZB+YKmGxn2wZ4ihNDb
nsuBtNHgS9KR2p0xUXxGn07moHGoyYKga+45CA97Ah05+ylQsvJf7QmUFCDIWWjYAtsTnwPdGZ5Q
BPvsDBSfTaR6NQGBFJ83KQOWXqj906s42Pmw/1mK3FA2HdM2nw7Qb3YGEiu024mW+sMgHWqkELy2
/ZYGJWjdeYCpPpVaeOuvlgYpJMRopsMTWubwwqW6/7GS7Ahkxt/T4U0dnv2BnMFGGfRgd4b982hT
mHhiWC0/9ex37AwgRnUssx8X4OHNBGP/mUDDBcaWJv+pLSVmAhJs4LsPNXES5cL99gSN5SDkYEmc
Hna/tzGCFJpTJeS2Q50JQkJk70FgvYuOyxPKccdyoBbHVIBG+PA50JxBUG73HAqyI2TxaU49JdJv
jlT4FzFOKKMcakdGyCLtOQgg/NBXErN+O0LSxUU5GlmvQ00T3thU/XN8IwdKjpOYPz9l0DtWAxYD
HKWcx7zyYIdi/+TRhl4E2BM67+O6f7MaREol/gHyIz6HOhTCLXfPNUGX0pQ1+lCP3/RtoJC/8EOZ
xOrAZ8X+MRMPFPqRFt2Xv8PB6zxaxe5cRibrqcR1eNmTIMrtOR8M8gLV5PjIUDxN/deDQD2agj1I
t0PNo4UnwJ6DoIsXLUprf8YvYBcA1g2E1yEnDk/10X2KDZyzqTnTp/rTOVv58qCMgN3Ow7Af3qJ4
w1T956GTniUWjcTNP9NlVEcMgxB6Y+4d3iDojw+2x0ygUwXzgWaM9idAuIqOB1Bhto8DHQTjMY7v
NwgW7WvyqKeF/yZzUMmjhVXWwWaST+t0n0EgW0bBkff8DHXbTqfVLyZMGijUB7sceG97xgj7y5O+
zJ9qLQ9NTVOnlXWgy+GpXbDHTBBlBrovqNY+4RhYYK+zBXDQukPqeLCtiTcaRv88Olh06BHQMcw/
gTmoxyMgBE76UAtOT2Frn5kgxByggXB8/GPeyClDQabuUPcEY/8ThMBBK0DZqDI/fDipvl4Owgra
Qobpn2yM/0Iy8TdBGave+OcDNTm4r3YxmP/0F545uW9//oJz+8A8fvU3BVX58eaPzFzx///zirms
PiRDL376nBw93Onp95++4tubv7rZ8/d6/sNZcF+uyjt//fCD9dODLlcJDOf/jfnPz9U2Y1gA757/
bAfN+mVl4f2r50F6/3yh33RkwUL9/VW3ONz/8sWT1c+sfL7Qi4uzue59cfzj610PzsPtfe3hKl61
vJLq+Vovnp1Fv//1s7ip3rxSyhIE2E+4eFqXq7+GWVXvugWHm71vMbqP/1pm5c7xZ+/Z+/rj+K9R
VjJ5nq/1YvzJd/a+/qS8r9JdFyes7X3xaXyfps/XefHgn7FcZ03yI4t/1m8vLzDeez/6PMnvy2AV
P1/q99ML+PT+l0/XOwZdwJH3vvTxfbljzEWbeP9LB6m3YyNQPmOtLlbRjj1MwHL3fuzFqqrud43J
ZyzQRVb99b+pdx/f7xqZz1iiJ6ufbMDP4/BiIn7GEj1ZlcGuofmMJSqunWe7dneBHdr7tZ7cpz+z
u2DX7iXob59w/fLu/ufzhX6PuyD97X/xjGd/vs6La3/GMj3Jdo7JZ6xSLl3fl/frHU/+GSt1ucp3
THRRe9p7wJf37ept7oi+xmcs0VOMirwd25cQ79j7yc/i1d39jtxRFOs/4eJNsiu5E+3pvS9+EZA6
VsHPHSMjqAZ7X/9ydVdyJEjrHbFU+4xVerlK/xrcI1S26wafsVQfb1Cmq/Lnzo1MSD18wjClf42C
e2/Xl/iMVSu+xIQVcBdUd7vu8RnLV9zjKFsVza5oJRrpnzJKiyao/jr9EVT5ru/xGYtZfI+TVX2/
6/qfsZ65/ofe2g96W3uclB/vMUQNdMdmLdpTn/Eu+BbDstk8X+x3iBQ81v1v4K92nglFS2X/i1PD
2Dk0n7KYgyoK1lnz/JwvBuZT1nIWr3ZlD6LWu//AkJgku+bMp6zfj6Tp9572osyyIw4LSsTeQ3N1
7692DY2QeNn/4uT4qB8+X+n3lBHNs/2v/p4u8L6DftVQIEp21eVEfXvvZ//GFZpda1VgVve++m0W
79jnBeht/0s3P3YsJFHu/uDSu8qyfze33xZrn9Udd/3a61q0+Bt38f2q/J//AwAA//8=</cx:binary>
              </cx:geoCache>
            </cx:geography>
          </cx:layoutPr>
          <cx:valueColors>
            <cx:minColor>
              <a:schemeClr val="accent2">
                <a:lumMod val="40000"/>
                <a:lumOff val="60000"/>
              </a:schemeClr>
            </cx:minColor>
            <cx:maxColor>
              <a:schemeClr val="accent2">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00000000-0BD0-4C4F-BC43-8D2AB1FAEEA8}">
          <cx:tx>
            <cx:txData>
              <cx:f>_xlchart.v5.6</cx:f>
              <cx:v>Sum of Quantity</cx:v>
            </cx:txData>
          </cx:tx>
          <cx:spPr>
            <a:ln>
              <a:solidFill>
                <a:srgbClr val="4472C4">
                  <a:shade val="15000"/>
                  <a:alpha val="83000"/>
                </a:srgbClr>
              </a:solidFill>
            </a:ln>
          </cx:spPr>
          <cx:dataId val="0"/>
          <cx:layoutPr>
            <cx:regionLabelLayout val="none"/>
            <cx:geography cultureLanguage="en-US" cultureRegion="IN" attribution="Powered by Bing">
              <cx:geoCache provider="{E9337A44-BEBE-4D9F-B70C-5C5E7DAFC167}">
                <cx:binary>3H1pc9u40u5fSeXzpQcLSRBvvXOqhqQky2scO9t8YSm2QoILuABcf/1t2U6ORck5dNWo7j3SzNRU
IjXU4gM0up9uNP73vvuf+3S9qt51WSrV/9x3f76PtC7+548/1H20zlbqJBP3Va7yH/rkPs/+yH/8
EPfrPx6qVStk+AdB2PzjPlpVet29/9f/wmjhOr/I71da5PKmXlf9x7WqU61+897et96tHjIhfaF0
Je41/vO9t0rFj7ySYvV++z3y5/vbPF3J/J2X11L379+tpRa6v+uL9Z/vt4Yh79/9Mf62Hc3epaC8
rh9AmDonxMKmwxhFjy/8/l2ay/D5bQMTcoJM7ljItH9+7dUqA8npGj3qs3p4qNZKwQ97/P+O/Nav
gGfx1398BvebZ7F5+iEA8ef7T1Lo9cO7W73Sa/X+nVD548Oqei/f/NBPt49P5o9t/P71v6O/gGc1
+psXEI8f7H96axvF/4DwXyk81ofVASBmJw4yHeLYlD++2C7EhBGT2TB5nibWE8Jv0Gg/xOMBJmA8
FjkykN1a6/UBIOYnFibURJb5BLEzhhifWJZpY0xgfb/EeLJC+xHeFp+A77bAkaH7GZ5sXR1iCZsn
xEEORZTtxxfzE8IpRjYC5F/i+waV9iM8HmACxmORI0P5r7QQ8hCL2DmxObVs/NoiBpAZvCyLmdsg
T9doP8Yj+QkQjySODOG7dbTKDrCMTXSCmW0ji+CnZczHZpqcgBXHYKjJT2fs5WKertd+nEfyE3Ae
SRwZzl6e1uoAOFOwxogTCkv5yakGx2rHqQZzbnPT2l7J0zXaj/BIfgLCI4kjQ/ivbPWQVwdwuJwT
Cg4zIg6Y4m1oERhpApsx4vuW8HSF9gM8kp8A8EjiyACGmHnVrKuVOgjGmNsEE8ZeWcXoxHY263wc
Gr9Jqf047w4xAepdoSND+zI/GAdiMcd2nnflcYC88a6J43CGYMN+uSFP1Wc/xlvSE+Dd+vyRIevl
wOVstmKlD7EhOycIA7r0tfgJWC5MTcdieBQ/vVWv/UjvHWUC4nvljgx5f52+u8qBXf3nLbiJT5hl
wna8wX7zGi9sAnE1MikwXyPq601K7cd8d4gJgO8KHRnad5UAnrY/ANbgd1HCLGbZr2BNTjgQZBi8
8m0j/gaV9iM9HmACzmORI0N5lr7z8wpc738eZ0hYMMJtizyT2XwnhoaJwDmkNCx7nwP+JtX24707
xATEd4WODPOrVXGYnZtwSE4Acf3khNNxvAWUibNZ2M7IhE/VZz/GW9IT4N36/JEhO4fE3UH8bhtM
NrYtC79Ch20IT8eCf/CIJpmu0X50R/IT8B1JHBnCi3Qt5QFsNaSlCGy5nEDueJslAX+bO5hRa7Rq
J2uyH9ht8Qm4bgscGayndfY9Tx/0P48sMNkQL2PT3EXWPME2pgjyzU9+2Laz9RaV9kO8M8IElHdk
jgzob/X3Q+y9/ASbGMwzEB+Prx0aG7LKDrMd04Zd+SUvMlWf/QhvSU9Ad+vzR4bsMivWlVil//wS
pgT8ZOJYJqSNH19jzwpbJxZszhakrB7fH4VNb9FsP847I0zAekfm2PCW/SGCJhtKgAjsxey5PmQc
NGEH9mNu244z4r+WE/V5BeGX0lPQffn5I0P2fF0dwsWyTih7LPx5WqQIVumWpwU+9Ib6xMCNbNvo
qfrsR3ZLegKyW58/MmRvN0Vdh0gywv5LCYEM1HN8tKeqy95Ub5p8XJs5WaP96I5+0QR8RxJHhvA5
FAIfIsNon8CyBHbDtJ585R2zzE9seA8mwHjxTlVoP77bv2cCvNsCR4buxSo5QPIBikAgtYAhZ/hc
Wb3jPQMhjS1sgwe9bZmn6rMf2y3pCdBuff7IkL1dyXe+WIeHcKnAfcaQbQAXerzjMoiAqYMd+ryq
t9F9k077Id4dYgLOu0JHBvbFSqn1AVws4DogCjYd/lSTh9A4UCJQBwJvm449stLTNdqP80h+Asgj
iWNDOFfv/pLhOl0fYjM2T6Awk1Dn52a8s67hqIxJoewLbPrmNYqHL96m3CuI7xlkCux7xI4M+8vV
A5R5HYAGsU+gyAt4aPZcqzkOoGB1IxtqQ0w8Lv6ZrNF+rEe/aALMI4mjQxhqAw4AMDvhzISdGj1n
jMfrGmp/LIrBeHN45yWLebmaqNBr+L4UnwTvS4EjRLfID1JtzU5gdcL6dZ436PEKBgqE2yZzCPji
j69dmKdq9jrSWyNMBHtL5tjwXsuH/F4cJG+8yUsAkIw9M9djwAmFsi5mU7op+Npa0W9R6hWsd4aY
AvaO0NGhXd3D4VvvHz+ezE4osrn9qzZ3x3iDc+5Aggozc59TdrmeqtdraG/JT4J6S+LIcN4Eke4a
KvgOEVFDksICOhOcsf1sGMEnJiII0s4jwuRtWu1Hes8YE9DeI3VkiF/mYMb/+YUNpbkmRxy4zedy
zZ0KEXRimQSOQuJRbnmyQvtx3hafAPG2wJGhexutDlJwD5wJnFIFFoy+VjpAToAiQ46zKSB5uUVP
12g/viP5CQCPJI4MYTg0Asmp9QEqrql9YjN70zjkGeMdXgyf2JYNs2DcWOItOu1HeWeECTjvyBwZ
0lfrZnWQ/iFw+skmDLoPPDMke3BGGI6y7qQhp2u0H+WR/ASMRxJHhvB1tQL285/fjCmFUiComHfs
V9qHYGghY8GJVntMek7XaD/CI/kJCI8kjgzhD+nq/iClBM4JHF/cYPx0Knk3h4FPoDgISsHIL9/7
5a48Xa/9OI/kJ+A8kjg6nGtoPHaAlQxUF7UZnI55LhkBAmSrHAjYbEhUgd9NRyX1H9KpGr2G8Jb8
JIS3JI4MYehDJoVKV/UhUGaQcERQPG+/VloAqxltklVsRGm/Tav9SO8ZYwLae6SODPGPAhoRKPFw
mA2aO8ii9LnIb7fKD3gyaFMAdUKjJNWblNqP9+4QE+DeFToytG9X9xU07JMHYcIciJ6hF5QJ3SUe
XztWfMOebP6Bys89qei36bYf9T1jTIB9j9TR4b5hQCu5qh4Ok9yA8zPQGgiqh55t+zjaAl+cwHlH
8OZGxMkjNfsWxV4Dfu8PnAT+XskjnABzCMTuhbrPf0LwT3RiZXCkCiEGJfi/XPBt142cmNCM1nLo
HuR/aTTFp3wd+N1hJuK+K3iEsJ/lq7I+VI0CVCiYBAB+fI0XPaQ+CIc6Yc6fOJhR7dEmDfEG5V7H
fzzIRPTHYv8F2P9exa3fvWnc+9dvVvpbWy6DAYderDbHz7H4OH0N9Qo2ZoTB4bsnS/Dzu5/a8kKX
p19top9i9D3W56lT9U7T5ZeyW7/x6Sf+/qH817VU3iyLi1qod9ffhSoOkbK0oPkAsYH8BMu9eY2h
3JSGgs8OfXf32Ow3qvb6qt030B50t/5q01P8lcdzhLPgEpqCHwL/x9IjxoBNecVRh+4UxIFqFXOP
xZ6s1OvIbw+xBfArPdQB822hI0P7rk5X1SFCcDirQ9GmL+vrVptwcN6wBZv3S+50ukb7cR7JTwB5
JHFkCIPZgh5x7qr6vjpIQbC5cbM35aDPuy9Y7i0/fLM9cwfa9EL/1sfXNtxvVm8/6vuHmQD+fsGj
nAMeLPXVlIDnjXdiAJkGZf5wbus5EtspOsMnm4UOGc8Rif707Cer9TvktweZjPu22HGiXtXDAUCH
cwAMWm+jnwVJO6DDRSjQBBTs/7hi5dEeeRO1+i3mL8eYDvlLqWNDXKyrgyxx6ExkIwpNap4I1N18
KDqBN2EbgJtvnh37l3v67WS9XsF7W34K1tsSR4ezSkSf1//8ut70AKVAmpGft9+Mt3M4/mFDJs2C
Qz6jjVxM1+k1lEcjTMJ5JHNsSEML50PcrQB9IU3KbegV+Fo12uOBXduEsyIjnCdr9ArK2/JTMN6W
ODKE72q4ViE7yA0pcJTLgeQH8KCPRnkf3QI2HWOHjNbyW3Taj/LOCBNw3pE5MqS/5ekhSBW4B4dB
oyLo6TmKvIAFhzcYhgZz20t4qiL7od2SngDr1uf/X0D6+g11v67681d6NXu8JPDFJXW/f/fx4cDd
hiPRZy5jD8f8q3Xj8uHP93AUi8IRS1h3v+4f3Ay0xYRAePR8euQnfNuSayhG//M93DkI1ePQ4hdi
MAILnXJAu10/vwU1xSacAoFiB+hXhTjYcgnNwyO4yRAceCgnJ1AEASaeMpg8Kq+f34GLHDj8lY1B
SWzZv+5x/JCnfZjLXw/m+c/vZJ19yIXUCsZlkH0vnj63UddC0PPB2pSuW1Bhg4m1OWRW3K8+blqy
wHP4P6ruLatJHOOKWVnspfmyEUHrytSWrsQ6nyesPzWUSb04ym6Qw7jXiKpw2zL50vY699NYL4cK
Z34R17GHbDt3SdsHflk6LVwXqb63Wfc5j7u/C1Re9jVdDtCD76LI0mpm5q0bFPRTyKtFhrPYD3X6
sSNx6Vklvbex8BpmKy+g6IYjo3dbJ7DcKq6+oI796Ey7m8dtcZuR+BPDGZ4NyVC6tcGGWcbLr2Zd
1L7AhZ8lRjuPw6Lwy9yYyzKpXWxUizYxUtcMaOOqOjuLBtYK3wry0B1aKzb8oDP/LtLG6G/itnGa
edrhNqMudPzP7+oyRkXnYmyGPi+Im+ctnxe4it1G9dmMoJp5ZU9njSVbNzHiD3Xca5fL1MtyJ/Vq
FD9oxtYBXFXpBsKxXKqv0uYTUTlzg77lXstr4Rp9fss6nLg4I3/HqTLcjldk1ne48VTenNuBUmcl
kt9LEsWVL9MoRzOrb3Do2plJbsokTFwZMctv++QORc0sYXXvqi5BfofMr9LMP2eC5dfF0OUXSIre
MxifScavaVgsZZpfKawWWRXNU87OOiv4yjjChZvQfpnb8byWJlriOsncCH73jOqOeIGdpy5KB+qB
Pl+cUIuzRrBwVsDjcx0cGF7Q0uw6cNBd6qTNPCuYcLnNzs1M6MTVbSk+J8og6axKbdue4da5HEh/
g9SQuMhWpR+nuTOrCnQbNv1NUFbSHSp6XYZ8bnTktFT2jRWzZZAOi6SpTyM0KL/R4Z12suuONwvS
kd5NUOOZGSDfFm4UW/XSzOIvFsvvWB4t2tb5nBlD6PJKnXZ1eFfI4aJqxW2V1V+Fxqe4cyo3TqPC
s0urcgdBF13TWnMEabB5x/oLW+boHCCP3bqO13Fnuk0Fuhl9aM0oba1TmwRuN7AFHay/SZXNAokC
V9fp5RAGHzOrLJa9pcMLapi3om6/S0PNMnVX1Rh7vOQ3YRT7hWpcWQxnlY0/Ix63fpzHCyWqU9HH
2s0pvYSA4O+sDsXCYPa80D1zaVn4UREKDxv2ADO0XfEA5zOUtf5gD1ctaq4j5HwhpD3PleHnuPOh
5eJ3WiDbR0F8O4TRdYvNL2XVXkQW/pyWCM8Q6eelTGJPJMZVgPgizuRVLbTjRlx+bwIzm9E2uOBh
37q0Sc/TFD6G+Xmra+22VbZ0wvqi0fIcPjnMuo7SM5Zb2k2cNiVzDO33PXswZPYxgmoC4hp2+C0W
ZCatuHYrC/0YDHWaiOab4u285c2sd0AF6vytHXmZ1abh5b32Ka49relpFRZfe8Yil2R96LamfeGQ
+qODy9THXZt6VUW/irpatqryUqMJ3Nwxb2gcLuHgyA2RXHj90FxaTRt5nSUXgaycJa+K0yhhC+Ek
X2KSXIRIfWKyQG4ao486Mn1SpJeRLM8TVH9JMvO2EoBFVjT3ZgZLDVWXoiHXXZrVy7DHtRuL5jQl
5XnJyUeYJGd5ncIKq/S1CtC8YVEDs6r5mpHSHyIznTcKwT7QnhscnxsUFW7ZGkuzN09RZc51VS6z
oT1tG8vnQ3LRcb3Q6XCjm0S7LCsvKa3OuwKmrJOVbqbSTwGSfyetuDZLa6krc63M4izK7SWm0edG
iVvLUXeQ+k9dyw7mjRUtWeN8T1CxxFk9uEOWLwNSXfRansmBwArD7WWUJ+dikH93Kb3laUhd0mcu
zkvkxTZamI2Yy6K4trL8XDDnx8uLb7c2vPu86CsRRs93F//647/u8gz+fbwJ999/ubn6+N9/Wqzz
TTpajT+08U1+ferft+lufIFfV+uOPIyn+5NfcT9+++brvslLB8OC5Nzv3JKXSfEnkudxn3+U+umS
YCjL2rSGQXBViAUtyWHAXy4JJAw2R2OgJNeBpP4m0/fskphAGeLNvUJok8mHW0iAU/zpk2yaTsCA
UPLjwCE5aND4Fp8Ew3eMXBK4MhBaidlwGotCGQk4Py9dEj3QvCjruruSLeWzpg2iAixazBIvYW1z
YxtWfxZ3jUxmCCX6m87N5lNiqq50FZfllxdP73kCvfSQNs3pxtpAgRr4aHAoGy4e3njrL7UxZV8k
PKqbK1JKfBUmgwzcmuU2mIBG59xtWrP+xprCEG6VObr0yrhKQjcYFDM9OMcgH7jW6BrGiGqfpCn+
NFiGgxe9bQVr3Bu4m/9eYwJu447GcJgNejxxiyFoJDHSWLAIsO31Fe2sMPTtbkg/NXAtNp1r1ueW
24APEfuCBY4Lzlgv3D5BdJE1VY/9qsn1Q9QphT1hFJav4OLwxtVZhBqXVVYSzsI8jj4kNT/LFI+U
DwQG/6wiMG9pa3UzoQz7UlRRky1+/6t2YYATHQia/ML9NtCR7PFHv/BTWW+ErVGk6krqgH/OQwcT
10wITI1C1t2Htqv4bRHg9Ovvv3Yz1166x3AWH65RYhQuRgPfndCNWi++1kJdaBYqlFfSGfAVTqL6
SsLmIJwg+vz7b4Lls/NNHE6EM2i9BT0AnNE8K6TZD2UV5VdOgcxV2eZVugi00xM3KaIZKut08Cjq
ndyLqdVm/2nSbCbF9g+FiQJddU24AA5ano+/HjY4EYUyE1esTKxVFtfWKkk3OlhDpmZ2ledujwD6
RZuWLXHLJGdrnXK1bHlvXnQ2rZBH2zhPvJjJ7BOtCkL9yOn7dWE0hY+MIWOexXOzOrWoPdTu75/e
5hKFsf5sYzYgjwm3f0PEvQ0UsmtLWlZgXOI6yFai0ioEPz/R0nRp38vwrI1E8j10eHHRDWU0t3Oz
Ex7BDfuh2TDkXh+FzDPzuFmLirKHxioidvZ7JU1rB2RqUphEm1wr1FFYDCLMl9PJrhyBqkjTy9gs
i4A7vubRsOh0R/lcN3XtVV2Jbpqst2o3iiLmVVguFKmKRWoWxEvSMvtYpFbWuSxtwy9tDBtur7R2
C/AaP9kqcfyglIFX53EsXKFpDCFWrORVWxjqujQGOgtDzGPXGAKZeaSJslPLhrCLxOGHsJe0c9Oa
lVc6KO80yQzq2w2BByl6ArbBrIfBRa0TX6SR5XwLUG2eRbaDL4awayBsQZGZwRWdvVgaTgWbfNs7
g49by/CHuLsvVKlva2SA+9Vmms0DVYLnHRByV0a4TRYBM7BwhygJvkM2s2pcIUvj7zpjEFsWiiyT
XIKbUfL0QTSFDeueZsmt4EHH3KY0w7MqqGqvh+ewwCbh1yUEnjOzrco5xhAzzVK4Ly30mjZ0Sq8h
UQAuNa38uuDXUWCEyMc416ew1ZDWkyi2XUez9GuXoeicVLy4tai2FjWPDTJXdjasHDuvZgp18TCH
8DmE6KNDK6LS9oeCWNPyBqJR7cqQNOG803EOi6NtZ33Y1M68yoPITzXNTsHzsSD+MascHnTWMDdW
cWx4LGiZC25wN7imTgOPavCAF5WdzEKz7tFNS7EJwXWFUjeGmaTnVLdcLTrKugs7GYY0uKnbUmeZ
24u0l9VDFESEDN9Ua3QsiyC0AVOe34MjFmtaubWu6wJd6URnSXfGRTksGl7rYJlVQhRuTNL8FjGD
LuOe0tqrAYPA7UvEO4ArcxxfBgHshzpN2nJmJ22IvCrVOLiOSmSz/DTpWRv5fZdyfWErTWFGtUGO
VevVsBfObSOKg+sGlo4deqVTODDhaKKyuUxFxd20hM0rmHWNsD0jgEIHy+3BTTXh+r0gy7yI120w
b1OWZjMVgFcwt2SYDZ4zWGAxJUnM2suiCqJ9iFJD9UEJI8tmeSicH0bdMIF8lBO9EKZTO1eWEYTB
maRMMyv2ZKfKoT9VkG2polkRRgxiNdUM5RxiQynmfWpn/SlSKis8i/Sp8Fhn9emiEqUwPICVfDGK
bMA+nIVJMh/+Q8Y1hAWGgkcu5Zc4y3i2pBXX6SyJtP1xqDWl89jICT6P2kgx6bKIRHoRVE0hb2Ez
pmdxOJBkXhegwSzXaTjMHNwN3HPivmgvM6eHqW3AUqn8AOP6rKKWlfphQMPaZ7IBOAVT4J/IIabD
Ok0gDeE7oEDm0z6LyiVGwjwNBUtsjyRJSX2Ri8Af6iCxXKOtCv4hDtrY9Kgo4wHCmHgwzlGQmnNc
BKEF6nJWzHAfDfkyErgNZwk3o9bdfM7FXHAJ0yekpde1whhc3Qnj7woaqfeGK2AdkSs8SDEI12lM
g971aUvqK7vgfe5LXupLq5awJYWKJSDAMwpPKxARlt8GnMrorOyztJur1hrEOdahvjNjYq2sLsgC
YB9g8gJp0TE6U/YgQPkax5mf0jJRntMGM4FF+S1tW/As4jBubpVlt9+LKqKnDWvDYOYkFiKudAIY
x0qB05rLqsFXQ1dQ80ZpC99hbcAnWttQjqdxz7pZQ7JYnEL4T9qlZKEi1wJYls8SlZvJGcelWrBU
RepD15va8VDZAjZRK0GxXIHRPYcdjH+mDoLZnYGVrHxoINTlS614QD7EVZ0kH4kjubnszLitL3Wn
N85n1HcfrMSwu1neZvDVeT4MjduRTA8LlLDNj9+o3oJ9Ar2KDF+ZloRfUZcWPKooyZPB40kDS6dI
w0TcyIrBkq9q8ApCeA9sKtEyui6x2QMDQ4sIAdxt1dWXmREVyhWoLrt5B80W6KxvSrIxGrCYPPhF
YEA6jjd+spbZ5wCuRjtzGiEc14msBOZFH9qrVlJQo6vi/iPQSkidh+Dmxud5AUTDrQO7xUJJhK9K
HpbfgF+1SzcyI0HOcifk9XkQ5WHj9xUrW3Bwe7ooCDxWD7Gyv0/SxPrQ1QrlpyXqGyAx7SxUp1lg
ZD/6gW9siCjTyIc4wKEzQfpIzQs7418MFGTzrC3C0mUmmLm+aqOPItfqnGdJbPkWqUgIZg+ucHSb
iPDPVWw04SwlEpbJYASUL02Z43KdgUHuz+A6IVgb7cZiz2LLgCfaNUMDJJrVlue4qontBTzVDey0
tEHgepfx3xVv+J3Rg5t+NnBd4QetZK/cDGPWLEVLYKguw9HgmW1oh8sCYGk9I+H2fMibRl92PUtv
40aVrsPUqZl1jXU6tDaAkyCshkWRJnl+Ke3OvDA0MvNZVMqsOQfmpog8x1JZdAeeiHpAXIIZAdMJ
HFQSqVa5HDjSEnaBvrxNwxKLrzgfqNO4A3hg/adCU4PDYCqoZhEzkvDMCIr2exQio/FSpuxkKYBZ
vOmUEQyLqi6VmImhhkkqiI7phy5JB+sqs4s0dcuiQfaliSOz83rwbtSsjQpArXWkCN1qYBnYDqXS
Ge5oV/lNSpxqMTglzP7E7ELm90GPgFMulF1+aa0e38VRBXMNdjr+GeZ6pj5ILjEYWFLweO5kkd26
Xf2NOHXrYDdJGvbJIrJs/dYKtXlpBqnTfCwDxSvY3GFGzwpBAU0IHPruQlCd5BesKiL6gXQotZdB
l3P4XV1nhJdJZRStnwGvQ1zwxmp9maYB6F/xJJyryEkiv+0QWvalCeu+t23gSs0gYpePXulzXuXD
k5P/lBR4yWW8pDamcCSX4r7KVf5Dj0mSrYH+P2dSdrI8mx4RL5z4nSzPXynwQg+rlwzMJjn0JPaT
T9n08tp0dXNgS3/O1vziU6A1EANqBJJJBG0SLL/4FAr5X2D4ISNjbiq14O6Df/MpUIkNV9lAL3Xo
9AgHI+FC15+E0hackN96/vMWg7FLYcAdktD1BGwKuBzQwn0UWjpdWPLaierrWOjizEm5eVnJ7tyR
KaRa6uqznWV+GevkVOYsHdZRrkrjpu578PEG4YF7kd7wqJCuTvobHZpnucryeZkq4eKhB14gwcZC
pI3pmkU0D5MmWoLzibywCEzg2FUYebwp5TxjRVrf9mHxjUd9DlQuA38BPIDYK4gyz5rOGM6sQnZR
4PVOL87qNPF7Ehin2qh+hFwOQEmgYNHjHIIjnPBlWofN5wISaedE2MmlQyX4/uK2qGlUzJysR5CV
cYTfVAbyWcOln9OB+mkqiEtsDuYCeOiEVXpWhtizNNFzqyuuHAs41obmfN6kQ+cagQaXIpLtadWq
K6wU97Qsv1VteNHjdhah3ieKXCIzPG8HHbk6LmpXgCl0Y8fx2lrVMwkIu2Fg6Bl8WfgjaHP7736I
m2BeWmXkQkwE7mqk8Cmv6o9RQm+dGMl6WdiRoW8EluUpRDWeLCP7tLR6JW9tjXjlRnXAGpeywFxQ
3DaxawXWjySo2+WmOmlRyyTxh0x+6GN1ZQOPCymZqxKRc0cb81y1Z0Zm+/kApqaULooHzxLFQyvJ
R6H5t4OYmP8242HBnQi/Mx5PzbjGtuNJ6oXtgPYW4E0AFQvnYG37BRdLoVkzZFShcxwwj1DB98t2
QB0YBv7WgiY3YFqAuAE1nrlYaFYGSRlgQYC0QmCVIHX8BtsBfXFGvIplmkAlAg0GKWzom8TBgr5k
LODEEKJFWqYfUMpghpm1crHZfobMbLjQpXENrl/lqkFcJinp3Kp3TktY4TNgyyDx1jnrvBaX0MHj
zkwg/ylx6fg95YWrwgGSK/TUSeu5rSEY7/BpCz54lhmJ2xoQjVD8TVnas0UbubSLZsDvriIWX/a6
XrM4mrWczrQRxm6Pi8uyM++B0l6EPRcuVcBCGSKrT+OiOq04P1dxOMuJNR9IPDMglnOx1VzYJP8E
fPJVSyLgDSpTLKKBrNIKzeHcxFcgPK05CwLwgMusX1Q4DT1uOZFr2urM6nQzd4LiXBPjlNMYorf4
Nmh04UH+qp01RXcjITvsKqeYg4OJTjNQ7pwyQrzBaQffkFi6RsauOU0fiIiKRU+sxBVhQiHvG9xV
af4jLerOR7I1XKniS3Becl+EJJnJpki9qGAWBJt577LemSVGfxZZWvphm37SVmWcZaX0aye/iaqo
hIiFn+HGCF1m6UsuN3xLvSC6uxEQfc3qAVLrfdYu0OD8wEbXugaRN10kMxd6r3yLY/yxV4XhlkHO
vDqlmdfb9G7IxLdEln6bQlYcUl+QXRTiAjIH53GJfig12Kfx0EHyS9T9LFI2hPQBvYEKhy9RDPqH
vZ24Q5gPnl2Yp7Wdb2hcagInU6/zOFkaKvXbsHJNAZtMr7HtIQHfgzoFsT+Xbi6jr0Gffewq8ANz
B/amgdaLMGSJW0rdu7rnkPeOQS6lmvs4S8xFltfXee58sXAAuKvaTTCkDFBWfMO1uNCxuAAfEKir
EDsecGLCN4kcXA5RmAdEmHZjXSwCml/JiF+UwmLL1FDSDZW4QnH+rYxLAXsiZMNrUfmdKT27BUXb
BhLXOG1OS4w+EKK8Arjb0wQH51VYL5UsPtVGs8iVhDRZPoeaBu46mVBeqBo+M+22cu00Qr6Dmq9D
KdaqIZ4Rd4tWFL0fyzJ1pZ1fAyv8xerZh7xstZfw5tZJ0rlGZ+VwpZvLwACmAvFl2MlrbMkPpAlO
U2u4Nmqb+00POXGgoiCpWAFrGA0+GarUtWPwtY1MBB6QM4FbchseOQwqM6vwHJtkHmQ9bD9DzY8o
6RK/yyibkWKzVBP1vYttv82dHyzu6mVulLEX1JwvsLT+L3tn0h25rSXhX8Q+IEhwWDaHHDVPpaoN
jlRSgSBIgCTA8dd3ZLntV++53ed4b3vlQVIqK4l7b8QXF8fK71mxwesdYAMG6NV1uuw9bxElWwKe
m7iad6kHqwL6cSaWyp0MV/WuncKPkblwN1bqwwTTa7+N38Fs1KWxsEdFMN+tY93ltYymfHWRK3Ec
TQG6G02HMxWNO+PsAT2QdDG6777HHN+6I9NtHe2CsYvY80RUkuyrcPD3Y7h2eJbg92RLvAxQWEax
+GWivXDJ+gnXLhywx3ftMogrm7yBNreOjylpffc4p4MXnMdlNOeZoeC+DltIp1vluoMRzs+7em1K
E6pwJyUTWU+2N38QDxYgSu4gvoWhHneDNyz7xIvOLF5ApSRhmI1N9L03xmbKYdpt6/AV032SVxPK
vk+26BQYfJiVTlSG/51kKzPf0H69AQ2hhUvqNsNU8gNq85QHAEWyUEPEJ2RS2eAGjFJquV47WywS
Q4/qvOtQD/ceH89tYr5NcobNHuTzstZwdBeSiY41uQ2WU7UeGZnbDKLPm1TmIbrAQ46yqsTN9XHm
3PxIaH2D8ejKq9evTUV/bD7BdxHoVKYWOogs0PXRdamLkA0lF8ODWnD0kIpky1IsAAYw8BDVkAKy
x9sstmMF0zpfvCXKe9jKGT6MN1GstiJiqSiJ590jEEWLOWZbISFIbGQ9p5CAcrwL3SHWaHasIW4f
hBPO9rAr4lTG5TaseJa49+TQMzHxhQ4AbpKw5kXlqbpIVDrjhw9jlqr0EGypn29LkxTBLEU+J4u5
bZduLmMzX3WJo1mSTCITfnwrZ309NnGbLx2/xdyc2dYexOjeonReSzqpx7Xx+nJrRVPyFAUEXMMz
H0dbjLP+AmTxVHsKr3HcXiG7Vjs8dSE+A5vJoEV5+WDcp03TZxzQO9I1V6qtXEZFcAhq89xPgD9k
vOSTIMd+Du6mpHtImXmXKHQZLga5CYk7hwzP3aRDvuebP+SMDEfhTSgJbhYZgLEacpA6pmxNskno
vE5ov7dMzrkM7a2S4x06kZ2m7mVq/UOn+ioPR4oP4BgupSLtVOJGv75IFY/3nsB/jacaYrea9trz
/H1Eq+To8IbmtmpuSWdriBPuNGo9ZH2UnmK7PDfgacrVoAjiyNp5chN7b/bPjU6jfJ1j9PF40s7C
p3eRjwbcs12fOU3a40abIJs497M16DmMqeAYhvKuGusXjxho9jrRGQ45HHBsPmwtunRczX5Hh2mD
zBZAsTXLd23El4D1t1bH37cw+L5EGCts9GqUeDWiiwoXyCNvu1dikkMQDo9zQs8BRPyArhCdmot/
ML+JttmPMf1M1XYSo7zf/LjPUkcedXg5xD22w1lf5f+03Ri+GXjp/6/t/u+mk/rzz2335at+b7uR
ewSmEiDPflkG+rOB/mNkxx0pMbgIxn4DHaAP/E5lJlhIh7+wvAqtN/gENMO/IxAJbr9Dn4w7tHAz
Bwb6v4dA/MkoRMaDwuwO4J7hdfqXpbO/tt1iQG0DxtTcen7/VUgHJXNs3v2VHRu/1VkNgMsOYwlo
MyNTvNsCcZWu/c2ctFB/5xbYj+zRiggcEfFId4KRHTHB4wzWqExiM+JMWK+I40XkofeSvnuRCe3y
xm+AdvVNPnnDoVH2rY0WkY1++MEpupLOa0Uu2HJekulDjX6fJwrzL8SPMlonlvmr3koyek0xtOxC
j40uj8d0zMOVRLkzet1ps95RMKcFijLqJAsyyGavASzQAmrmhyHRCe44YM1Fd5mYrMpaIEOsgmMM
NPEOJ++XiYPOqxOpYJF6c9bEDv8Y1TLfBJqGthU8i/kxEG63xgbPNvREMKnLy1aJaxfrc4fGvcLv
lJlVDhme+odZqmISoi2Vptfcp098bRzG/7HNgOKCf7ATLFblJVkYBoc2WGXOk+5LglY7j8gqRpGz
qZfi0dG6+wYR/2XdwvnsEnvbBc7uG3+GU9cP3xYBpVarfdvNURaOzGThDClkDDjNKp5cV4K+BL1F
OybnWw/riEulRvRkbBPllkIkF0Pq7T0zPgRe9cEabgCyihwUpjqb6M0tb/BKdmEXvdk1MPtxIPtm
tALA5Nyal9Sv9GNDmk59SrF9zEv1sAUEqsTYAT1VQ5Ukb4OPco3P95HgCD0sjppbOvD0Nmy5Pa0p
z8MUgsYcRwc3oB1AnZZ5FabrTVBv0CelwSQBq/XLrOcilm11HSzmE/IrPeDETftsiJJqy/455347
56AJ/jWBnmMb9s88oXV/EihxRuJrfz/tIFACQPdxh4jv4xbWC9zxx2mHRUy4EQ5wE25MjkGW/3ra
gTCngIhwFIEJu6xf/P20w3onPwGKRiMG4iLGbVJ/Q2QAZ/KfIkN8AV5w8QW4JPx9oc5+Pe3SNt5S
PbHptpkkrPl86A05AbkOQRGCZAAo2D6vtaBZvHhXiQZZUjPwuzPmjEp7JPNd/bQId1bJ8jiR5Wrl
fp11VZRmUO1hv8gNrrZ7mdv1Jm6DI5NRFuDZyfrLA7osp6gbo3zBqSm3ZgYHaeFPC8DZMYaTIQh+
BCCZ8/mnTibVmkPip+WgvD7bEowkdZ3kYQO3P7XV1zXiVWabcC1Tt7YFGbqnMBpHPOwezcFP5UG3
EbQtLgtFP+WD5l+a1C8cjdZ8sLZAZ/UejSqred8WuM78e1/HAOEj+RrBQcvAfR2DJYGdJuMMPvFr
JMJ9EnfbBazeVcngQf5oDzQC8TmhIbELtN01nAbYq8v7avh765ZbYiALMLBzkoBpbUO1V2o5JgCA
duBgB1BgnskS0X0IErJi8fVrZ1idBdUUFHx0nxGn241V65vsGD+PTAJUYRSYqohKNFX+A7XxUITA
HHJ5McSMXdL9PKuzz/rpa5JOA044JCF2wG3yLYxlGfLY7Jo1IHkD6qFMKvT/IkWbO1Jtr1eSLIUC
obZLjOwK3nhr7vBpzgarqtKTQDFWInmpiZVnSUyzT9LZPVI2bS/zNlWFIbAvlW3I9Rq1KJezUl/N
MNGTjOPodbJt+2AHv7+rIiqPiT8sV33KA0zHaMBhL6Lv98KwvuKz7i7u+nI1DltDwbsS/r4k0ktg
B3n9UVNyr0zql1U1d89kxRu/5wmNvnl1Kn6EELuQTUCXObt1LDFu5is43sxeFOPpoh3bAb41xGS3
bnjX57KHyGwhNgMxSHOvH2+Giw7NL4p0TKYFdQMqdXzRq0MI1+FFwe5bcLWQmcseWgywDJGpi96t
L8p3dNHAt1D5YLuhi8cXhdz8FMupfIx/U8+ho5uLoq4u2noKuOMIpB96+0V59xJo8BZi/HJR5eH9
F8tFp//nMP95mF+QtL8+zH+7c/rPTevlq345xi+dJQ3QfyL4c3GM/jjG/csqZAjJ4R8n/O9Na/pf
8J38NIkCgLlYeg6F+fdjPEGcOLysYcURHvzsZ//OMZ78SSuGl4UbvgERUsKAnuL1/XqMTxRjYO+l
6y2LUrsjXqNLGxK0cCpIeH9OSL0w6CfM83LGdXc9z+MjadmeJQqo+IAWT1aEXS0aUsZUU52NsIVQ
uHAorIHdUd+lN5GZzWGZ+u6ehsghRaHzzoD52d7W5jXd/Dr3GPmue2ggsMLvW2kUGmLTFF43NVkg
4tsNwZNcG7jqogNTLM28ZX6CJnOUmG91S+9V4DXHqZ3HouWsBLDHDl68LBkmZXv01agTMFua5bJT
D6GffM6qfzSTRKrpcnaSyDvW0CdOIm2afHNpd0vG6BvuRn9Ie3wX7qtrrOCaoS+OhV10U/A5hX+E
tyYAWI8W8Z6o7aUdu+e07s+yst+IF+zrrsWL3WaaawB4IVvx+M/seuuSD3ALKl9X0BMJnc5oek3O
m7nPvdHhTEZOKqX8u6oCm7HE7LixZez115p2r7UE9x8HHc9l1Q4lDPH3TQLCkQP+AWoBmNAmJ3XQ
J3c2SLx17416RWXFz+NknvIe4BqOS/SXZg/+YEfSeU8hKox+uvOH7XNLElmyeDrrhQ15PMRJZu1a
ZXq0XY7UTZsPydwdUpGabKbhlw4hmNELRNGHXTktFADy+snjqKS0cznl4g0s548xFqaIFdOFCzez
84lrrpOG3vFhjbI46smhqzto36D0AB2gO/BEXjUmyofQsotiepygV9S1uR9JS7Io6hBOaurdxbdv
2iGvAr0f/eh+AWLpdJeCfwaCMrimmDwIGgnUC0AGjGdSCVfE60YOcaNlaVqLoUJwV8oeNAGv71Qr
ALrY6MznBBZ+b5fCMflG1k3kbjJv8QItyy6eLC7sw4GDZS9mpxRgs1BiNBlJRvytg54swkw48Rjz
GJ8pE9ADbdtrx82Sw+dDq7KAr5I92MogDM+NN99HfvVVxwHP9NImJbPRVRvRA0xsh9kvvV00mo3G
o7ARKv9IkFrJos53GQNuj3TTcmsW7wh5acjWWX0f6xG0WvDerfNdHcKY8EX7iUPqBtBLmw1zcoME
FCnheA4Zt3rCMGrvgi74qEOgIrarDkGzvs91erNQ/Sh1U+ct2742sIkz6zGxS1hd77qLwOZ49NWa
/p6K6kI3qs96m/oDfOD9Ns5xThsvymxomywV8tFUArEiIZvS69QXPZsv/lCtWTSFbwOpv+kIExxS
jBjeDMeYa4Lr0SQv9eCdfTGdkrQlJVlYGVXdiaPDgQKOyZj5flan3lfXr/u4NldmaJtsju2M/iZ+
dSA7MyWC9DB1cVpYIHyH2ccHr7dpeEuVSbyihyz88U9Z/G3GQbP/12Xxv9u3DzP8uSwSfNUfZfGn
YAOXFBdnwvu8FLhfyiIEnjC6XKeJKoiC9HtVROlD4cAStN8GmF/TLLga2cf+UpD4v81E8d8ZbqAl
/Wm4QV0miBFgB2acYFnmv1dF07FNsZXbW9IET8rYR2rZuQ3tvVq6GgZRWJ0EARLth4d6XWsEVhXf
8Smac7eMPCM95Mx4RTECJPlAwm27uH9+NocOD8Lm3zsCNyNM8b008otlU3f+MRUDvRzTj0Os62zT
JkHiarn2emKyVsMoQVfs5R5CnUXs4rpsJurBCZj7G6LbJ1yUxK7jadNXNcWH3URoUgWHjECbeB9a
kBPJZOY8qirEZQf9VOkEWIXXdhkZ7LHv2I4nTpRWgaSMw/YTvP0LWGUvayg7mMB79DblZ7y319sF
S4Te/o4sUg0VdsQQZOZSD8fav/JF8DFVb0OQu1QcjOGimKcR2YNtrPGOqAahV3hPdLNd2a3127xB
ylrc8DG6+eQ7HOopwS80TPxoh+Ru9eIuW3XpbVej809LmHxjdXQ0pA6zdGUwGGJ2NYjhTrao0iHE
8sws/q2K4IcJMpY+anbugthmTgh7jAe0GCCQH6iYw/vUq77jaLu3OgGA2ARNLv3K39He0MzGk78L
Ish1HTeubNRQF1zNfjaQ5Aru73EdZZixoYI9pR8WBQ2cbKNf9gEiE4kFhxOlYNkjAIyl6N30KBwJ
coQovwjP1Bkmon1P6pNV8VOYwk/yhN63K9K0kHbqqUoLQyuVdRffG37HATlPmkeuPwU+fpdt6Pdp
gOi34r4md13o9COaNfzgwULyMrdbOHxHj2SOdPLu8AF/S400iGELfaqU/zr00/UABrvw4JYUcg4+
l3n8nOJ13Vm3II5oE34AFv3e4hFFVJpWuQKss5Po/RgVFg4TOU11/bXb0vPW+8BQEMI1s3fVr3DY
LEnIzglI+EbBWsKEfOPqDY/P9FQJ/t5XcXLQAUD02msf+RZU2ULHL30QH1XvxCFh5gQYpoHUF7W7
xOpjJNjzUJHqhMxplKl6e8T3nK/QlU7gUo0pnYiG/CeDPA2Ayf308oe3BCuy7TwqfB5+saYe8mnD
UG+t1idLxwV+VBxn1Sr7rLGNgzlkzasgXBx0VQ13NbypbA76YtGrv0vG9iWhW42CXgH7rP3MUiPx
B9Tpkjf1CARVSTztjh6tNFVm6qgqBjoe4dDDyEkQuvR5s4/wWuCRBGuGY9HBNgbbXjtgFb0+hK4/
1F6EVPAG47p2QKwaz8eTFrociPKSrWEVF6mw6KCAIgBMLryQ3dUQPYydnv2lPrNhPJlgvUlhaUzx
NGabbfeVxxEqb/mWaeXfTMv4LA3TWbNWd2043isxvySwEm27vVqOwV8hIpe1pn5BjOQULuSwWvvk
kohk/ajR2xgTZGmzXCnblzEZzK5dE5vRYbnmQ3CvNMzSZfbLmHYnOo46W+34I2T8mxT+LbI6N4gW
3UEgQeM72XfOGXpitb02FRTUsE+SEhz1N9vG4CtXtDWOdk+mCs+L15lyavCpQZZsVS/BWLODDCMd
7FMsSigrgxQEk6b4p4T/LOEUqbi/LuG/XWP25xJ++apfS/ilQBN8VAOk+yA1/lLCsbsMEyqkdURM
L4DU7zUcHg6NYLogxnohyX3Iir9PtinujGEI7l22aCAK+LcgqOBnyu/XcBzDYItxFpxShA0WeBX/
XsL5KLuAcbneSn0XrPFlEkGcfXHp87LROSMrCmRK9VWyNQ/JGr6veNry2NtQpStYkKu0QLhdiiP6
kvgODI6L6D2t1HUzpi/b1j8HM6aaUex6L0KbmsZfmw7VNLERzf0ZyD5tr8wczPnEpzRTW4CwPqzU
JiKXE0C9RCLadoGJ0OzyPqeU48Cj7FU18YtYt3ePJzrnMK7nfnxW0t0NaXiDCKO/J2nyiMzPszGL
uAHAdDLzhCLp2bOf1AD1NVY0LAa/84baFEAvHY9jUu0g4vKsZnqnK+/L2Mk8dSxjNL1pkITagOIX
Oo459hpYrOVA51LLftcnF7/cYW9G6H+YVN6iPYgyIfv1cQPvJSce5H5n861foozVgczhf8AC0l5d
ph772m6KltHM43KRpMGSAJkW/QzKzFv4fokNTPp5Khqk7gokErNkBmeN3P9jtOJh3wb2gkrVq1zI
IXxM41E4iMPMwERaIuBKz/48b3U+JQAyC4ax5NJIuWm4QR6hjsBaiiYsuNla6BfyKomwTcOue9Is
IOinqITHAg9KiD02a0x5vPE+48x/DuNuyts4/Oxqdt0Qi7Sw275BgauyyOKDU/HxGUGgb7L5HDg7
9WEDXz+0aAjG8zLEdR7V+mAo8cpKISgGzv86JabN1RqcoZB+WcPo1HadwjC1vvUQV5/D1j6INnzw
fcjj3Xwc6bJf6pofJONgyyQ/aFuZXPTBeR3RhKVeFx9XD2LC1iYv3jQkWdR7uzmleyInTOuo9Qmf
j1sKPo2YDq6V0EU6eZgikbSTsoozEm93mnJwNGxnPYiNwzC+bE3zpWH0B5DbFhHE/pUk5kpz9bzG
1VfRDndLpWS+uOSgNIrFcGE+THXgSx3nDZZG6MWd2hEnO6231wlIF/idN7dKWJ70nNay8GX3FXCg
K3iAzQ2KaJTeoXkaw+G5smzKujG0eGnqrBZXdhsWl7j4a48QEWIs0fXQxQ/Yn7AnAf+CEPayh1ib
t+P4jSXiAXm3Xezr2yBkt0tHUjxjG72qExTBPtJXm0IYPBA7pT/UhfeaXF3ame+NnAmqWQh5la13
MmLAtjj+zQw538X2dRvtgg0p9K3lXAO0UC4nELhAFtJsmtanaEOxXEwDlm6In7QW56QnX7ekukap
ug+ot/eJ0hlWgHzwC1OYgkaM4v44jS0+gPypAXFX8pp+shpYi5z8J3yMX2MnwTtyc+NkdG/T4CPd
1qGsvfnO8BnuqvXDnAsaFxXXLGuiCgQawiWwB5bmblXpg1I4V6q16498qkjZgnre6Sh9X7hDRLi/
4z5ylzzGKGFnwvN27dNyqNm5S2x4hxjIHptsKn3Pp75+7LT/na8B0C61PW/GXAWbePe1D9Z7XJHC
Sb3SKXpTOXCdUA0sInaJ3qUKC9E7LPYZ40oVg+qarHV9mnXgmdAbx2hxWDPkPByuwFUAyvRPcvSP
VeUeBjFNiKwGx2gLb5bRO5sWv6VUfdE5WAxs88JiRUi+rtoxT+Lwn5L/224sijL8/5T8t+7t/yj4
+Jo/Cj62SeDuc5g/WIv1M+Hwr4KPHZYh0gqQqjGCQ7n+V8HHxY8RqA2gzcgDwXf8peAn/wVQ4gI9
Bwzi88Ws/BtSdkAuQ/l/VPwYSwb8S1KbYrnqf0jZQ2/bkE10u0X0GFWVuvASy8EAxdZnv+73vEq+
h7PfF7wb38mIjvQCSpAlPEMXbIpeec/IPBSErdds60TGXLtDWXYZEfI2ks1u5QmQauQOpD9SGD1k
r5b0eg7YlWnNHjm2w1jTW+QAUMqiTeWDwCDvovkxYmbcucD/9CJ9hvLQ5cjpies4Ul0GEQxBx56V
K0VB7j2ybwEnEQbdrKPJS9wFd5Y2tyx1MhsHPaVXWMnzoqJ1zxegxytL75taPAqk5TQjQLVZbTLR
GFKsLvycjagxsY8ddgjj56xs2m/eAEcT+IMX+Qeg22QHUBLJ02auSpdKgk5JdKeRCHWhQyHoA3op
VNXnsmG7tG/ewUIVbsVL7ya7H/tBqtyE9R6Lby4WV7UzszoMWpdwd1MIqZiDwsY/0tWcA9LIk++x
E9cr0q8D6dDixFczMmx5OkePiKFFuzUZMPDoCb9FOoS3CRJYeoaoarYUTYZlzREt5E2kgjzQ2uXW
8W9WJE+1l7Cj9IJDuPJPEhJQYuCMEf9pC8sQqadGIxgShgdTcYtdCC15wt4hC3uaHVutlyIUHUpw
c4DIEOfINfq52BB/NNLyYzTDesBJDoe6TndSIyCyVXIte6RoMybUd2T+Naor9nw5b7uYBj4WdTBV
InMPoI/4VeE5H7uAZpIqjF60vVYRx2Q7euwgLiLF7CXq2CVwbuMQkXc01qAk43rvDGv6w2CF4Y/J
nHgnP6o+oCEA10d3eNq6CruhmuE49OIJoechI44eQg/Ke+ui0lYjK6dEF8mkzVknw7W17Q+zgNQL
t/lMlum1s1hthGzty0j7OpNBGqBj7eCvJqSMLXQXvVy1LQmh+tf3m0um3BjECGZ2rbcEj4T34maf
IL+4HWra4VWL8Da2Yj8m/o7JGuRmqAwQTLuvY3rVRKiXJHXfNrCVwHef0wW2dsv4UdCe7afVtXnt
9xLVyNidrPRbShQQGy9fGoGVGml6rZv04Nhk8jn2PiSXz8Zb+1x4Aho4JR+B7F6QSi480azZgGWd
b9PASs/3vk4h7NrZJcBb4OJD/lX3kQq/uW46Wz/+iDd7Xll3s/nhWcgNMSiDVgLqx7Ue2n2D9G/Z
xdEZEUXsnKoJkPvqAZQmmHS5fqPxk/LKcE3OnZS7dKotAr0SokTnPckJ0p9TzX0iYy+nZvjaee6h
jkaea2+7q7DCLo8CbLyaedFKpB286LDZ2WDSxV49yHNpPqg1a6r0GqExbG9St4B0cnRNx4HO9jzF
i9irdvuWRpPbOZghERIdDLvtGq++eBb91Thvx7ST75RhyRUy5kXSzqjFsn50DXtPkTgoxsXC4+kx
fXhO537L8RCbagFA4Mq2x1mYpVuzIMSLDQQ3/wzZP4fsCzTz1xUXCwPc559L7uWL/ii5l1uRcVMT
7j4H1YPB+ZcZG9X4ok7jHr74f8fv/52xESeCQo55Lv0XH/SvGfuyYAj1kbEg9i/rK/9OyU0vkM9/
lFzwP9ghhZxRGGILzb8P2QjNWGxuqIJbu4QECtp0nNewL/w6CECN9TuYXlj55tYvMQXLYEX4fQiS
KwcBp2CXcHa9IAjnhursZgDumuhrr0Y2KdmwCHKx080yRLYI08Hg0Bnf11R/raQosTHgQaHi6NWd
aEAf+g5Cet2voHk6ahERpFe6xe4D4cXPGN9N3qStw9DH0b5iaSB2QkDU3JY8WtpbJoJbf47KtDen
uOmPim3YdzlxJCsUTfKpWvboe0uadD+QlHwYZ8FOWvA9Fpu9J3IFP7S9LMhWZoq2NAuwfwH+dquL
iz9LFlhTcVe9zP74TS1TmFeqOtDR6KyzMTDGKhgyB1ETrnRwo9r+1Cic+/Mw/OinCkEGz0CWbBI8
7gPkf9Hf1mzqTkvrkHWWkNbjFk65qlDPUyL4jY1Q9aHrbjC2wu0HjGV1M4VAoCXe3I631T00EJJV
dviskEa8rk1zZKkHpY12677SNrm1cmnLOJ7xpzZW6J/gX+aqRcAI2nEFg9+P9oCSsK5yQBA9XGJx
T0Tg77euRjACnh6cikBk2JtiMtkGYPvXpj4EwQKzT0q6r6vLRiScrUG0IH8PLREDBPcLf1lBPYZW
7kLS8V04B9gm2TqK8hdgrgzqKyQqz5urb5X2j24VyAm0yQ++1VFWx21YelYGxTqudenzeN2DhGlK
UlcJ3gh/RYSzT/euBlhTL8O4TylS8K0YsOII+yMeQEYm+7G7BCCQczgQwnkxTdCAbBB49w0u38ra
Db8pRI4ok1CbdgnOyLxe5yRbgZOXHrZSIGau5IlBl94LWj2t1N6NI9Fl5SVrZlz3bhogarKKsAml
T8NTl0LvFP5lk9d2eYsk1d9mNCrPGis4MotFjId1xNoyugiTNVz7twysV1Z1GyxsvO+YN73xkMzg
N6s5hF4Tj/JDYTkoYqGQcSbRegfisPGTIaTANaRshPGzNkXlx9KW9pKTACBVz0kxYLFrHk11BMB9
uUf85yGaW1VaWmOba0ObGyzxcQfsefjh9Pbu/KnauQ5LD5u0wR5EZPbzYImKZuijY7RibWTkxdM+
4Tp8oN74IlPjvIK4EYpPRRfYtHLsvs94VfGG2CCv6gaRu6pH6mF98pER2C0g0nIypSfd0qic5xWK
xzQiOGxBMWDtE3bWiFJq7Z28kBxkEDxP0NBzRJaf2r4+xbW+g/Gbe158bdk3HtPzaKLpFd7T5xy5
qyX0EM8DMgvtaZyvRixsOaQpFn9KNLKYcckVxU+ruuo8TeGPHvtNcn9rrslM/GxK45ctQXsv6y0B
Ydx+WLQ6GVbaHE293mOh3xXAOuxTukB3GjmcvZIQdZapQl+3muV/2Duv5TiubNv+yvmBZKTbaV6r
MssChYI3LxlwTO99fv0Zm2xKpKTWCUXclxuhh47obokAUajKvfZcc465Aqxqg5zL90WLc9tuDbGZ
Z36FWp1f9Up4m03Bi1r2z5XJ48FRqwHLRHOMR+11SkGrtqnBbNgSg9B6jdg06l5qNj7TBku7RctZ
ZAyXrTM+9tQNeLZint0J+0aZ28Ueayj/ZkeQp08x01RdeewTdQcKgcHVDDaJWtZXMQZInARyuplc
r5uazzYg9SeG2INGZD2TVM6FzySNE6V7L017X/TiCQICo3fOBr5Z3uA2QScqpx0/dLaJdAakXFu8
zLJPUcJTxi0VlgXjOnXxKw6ltlNqazeP5Lz0GMZVPF7DRr7I9JZ1WZy9dY5LAMg4aWG1Vcx6G0Il
4nfKOKjxv8Vr5MTxuo37r21sn8Gcdf5QzvsuNyOUh2ytmOk1JBmFs6AnVzgfoy67zl0FKSq6y0Dj
RVaxs/uM6GUe32Vxtwbj0ZAqauF9zrg7IGXF2dpR2wlSoU5ARP0MpJ+GcwxrTevorcPyMSUeaRU3
qvTg/DsbfZuNzL+djf5TZESzzJ8HJPknfxqQhKNpAieci/4gB5TflhBgHIhAM5v8Fvz4sYSgAFOm
sF22wwKUpvGTS9r6QuGK0GV6GmimijHhHwxITFV/HJAcFQ+fsCwD2UT+VX4dkNxAKa3QcaqrYopx
Pc0WZjM9071sKh5h1jm+nqDbQYtL11lqZ9wZu30ttK9DqeZ8bvPxMMqkZx4RaOvUfheWpC55PTyj
YQ1XFj1PeI66xE7exqBBqCfSsBoKHGKAaArfzoWDwjC756jO70WD1YdQ2YxQuFzMYF7CsCuJ6T4G
iXGX53FxxZYS/C4+Vpx1MKDVSYsPOVjowEQOSF332klZB0y9/gmQu9+EujLeFbW7w6d+TKpp3qgT
2/p2uqm1kctTlZG4rU8Dp07Ih1eoLXq94EJpN7covg3h85KntL2wVzW2qepG6Jrt+xxr7ETDcOCQ
mBu4VcGWpcMtkYVNNJnQ10zy600T74fMftE0mHvjNJ6GsCa+soQAW2rc1lO+i8pY86a0h9zWpJ4r
lpuAI3cnFI2Xpo+HYxYT9c1FeOJydHAdJEZCtP7SKR9JkrmYs2p7FZbxdlzGeF0HPJSVITVxKUIO
7RfQVJlzNsICkyI5UcL2CNadcZMgVJfth+6UX22+XD/zksU1kn+kta8RDO51G0gujN2x7EVYNSr2
yYYFlTwbwL9lZry25nbnlO7NTPLuXOcaaflkgiipVX4sytZDT9O3i67fmYs9oCa5nqOI+wpZ5VAP
yS5FQfasOjipLdsMlAKQW9mxLbszEDevyxi2xmJTTngANBE/umZrbotJd9cBxCDPzerNEtuXcz0/
6WW+MYvhhcxLtc+N4WZoYYBpy/jJdwZeZGQYB2rtitIVTiNtPicTS6cgjS7dXgkuBqN505qAWClT
+R6zpvUSEaL3ayJGSF4FO2R12YgUY16TDNUpHBT7UIVlC1moxJ1ukzRyeYFqZSUs5wPQ3HgYCCA5
gU3ceNp1RrCZhTF6RtA8uyaQZ3NmlZ5WfAvus1XPLXac23UveIkd5nYlj5Z7oyo1NvDziLPfvnVq
6wj56zOL6tTTUnGTBVF4tEA7LTlbg2j0oC8WfmqZrNDb6CNZKnfflfbHZMs5zAFXLga3xaDdXnd1
yUvcXAYpUpzdjNWhtJs1Yxlh/NQExLpI5d6BZz/N/IkJlasYw3mTaAH0gOCcNXPvmTnw2SHqkQV6
U/eCJTvWeqH6i2rVBFFhEWgMBkFxGBO99eJAf04qjLiW1XUXkamol8bYiE/m2PSuVHGPZIMDek3L
Iqbyf0+n7zf3v4WEAGx+HT6b1/bPh5PEevx2OGFykx2OIIFQq79FZH47nNQvrivwsX2zd+ML/1kw
ByrC3d1yAav9Gli0vzjyoo1SbkjQMwr4PzicDHnM/Xp7d9Dk5XocqJHOYShv9z+BcovQ4ZozOMAI
ULV3FZ8OhDaH0WY89vYwr8deby941pdbQ13wWUz9uUhMLnBF/taYeokBtt3hIxG+azTzOhwtY5WY
KMVcHRfcPaPuRZ2jrGx2cZ4yTvkZ5v9jJBasOER01pO6HCHzXTTClA87LoRKtK3n6jFwwpKlMj0C
zUzUrUyHXZ91hzBPyMub4rA4MQAB0760dPM+FEQxuti5dkc79Yomxl3XvOoCnIMjQiLOguoLTNGg
Ib89KpdLq7AfpwCCIOmrJzcrH61pOLqpdjHa2Z0i8OhicF4Di7svGpaBigb0MxiP9mLeFEWy0ULl
WY8nFrIhxAZsV21TXVR2+cTQcTKinPS1mLYDtHk+kuZrl2GPKaaMlLONy9haWO1NWcYJztJ8DurZ
d5yi9wfWiSxd86tmnMh+kAcvIz1e4cw6jRlbzHAZtS35n01i1RjOhoRkklasFX05G4H1rnfVXdrP
G4hncAPC4kzZxmaO8n2s5x2pqPZs9fZ9VAcUO5jzkyUhHfEoiKlrJrNHwXRixDySCt1GkFmum6mw
N1qUHSYt+4wWBgoy8vdW1GgA83QYE6V7lQy2fsoCezc54W19MiP0bHxwo3O0ZhJgWEQ2sc0TzkTP
jbsl8TujG7ZN7zxFFnfxvi70VcbpSjq2WKV5+Z7aVuklHRlFvdY2mQP6TUXu6eZdzEFITDR5axrj
k3Uyiw013IW1eZLYPLIFIajjIfdBNZgPhqAvA8AGl6IgJpFXH3Jh7TOhwaKMNo0TYhEDU0ovB/UX
esgqxfmWpixE3/njoFzH1cjKNR1ltB7UlYrfbqlZTds48Eyl1tdY3XeuJX1eeoCH07Edj96vnS5t
fGUzvQLQvCPT5A1t7qsSq8Vbl/eR+wgHw1hH0hCIMFH7sRuSuJcdH3idbC6aWAi7DDXLENmNOwAC
17EAgHneE5y/CIZWW+XSipiFCZ8Lm2wSgAS8btKyyICsbhRpY1Qh8R1nnI0BDkdDWh07PI+OND9K
6PO+avlZom6ENLjgXDPx2oXqAmiFT0oijZSwuM5shy+iXFW9SpotLVyXGYd3hwuzLa9jE5tHg0HT
cfJgP1nlaWJ/hFNiPLh6+YHVGxch9s7czCvfTtsUx4eSepxSuGeF9L7WIvSiRdli0kuWF/AHH0Nz
kST7FitpXNYz0xZvgyEPXmfpN9Xn+jKQDtQCK+oEf6ZgBkNJiR6UMP1Mez4yOql/v8LI2rpEqaWz
1YXrDE4wuwOv/NWV9tdw4n1nSEdsWYS+CVWa6Ri7HaNjcaHok7jU8NLCIapP08CZCVA48W13CbxJ
mm/7AKk+bDDkRuNwOTQpZgtp1s3c+DZqeDcLM9T2TQbqyAz4jQMxBQU+L9c42S2GJoNRPx+WdYUr
2KibHv2JD1a01AFzJeZh6F80NNBC4pV1Z+4kT0NajVOYv+TG6uvcNI4ZbmQsCneBNLtp+nAIpP3N
WJYJUEXJZoJ0pNY8pa5oR99qCytZt31ypIACXFg3GLmOjzMogMfFLbG+MDIv/p0Jvt9Ygfb/dzX/
eyPnnwcCkz/180DAEpxgF78T8cdeKTgVOrtwCQ9AvP99IHApHbN4hBhEsFiVo9n/ZJnji1AKa4Ml
17/t3f/BQKDLv9qvAwGFV7bJ18JJT4jYkLb4nwYCrLh5hK1VvTIcNUbW4pFtaS9l+IGfZsFMh6Zf
XMTSUxPjNroYpc+m0e0rC+NNX1cbCyNOhiEHc9ZalQ4dop5PRSO2NTcio3AuK+nlae1nTdrEMkw+
C2afTuBpDqX/Rw/7+2oq7lihUwvlqtm6rrWOT0n1HGAfsrARCSTeHFvRQiJdw2ak8zxe5xiPIlH4
rnQipUu8a3tICgkmJS20d6N0LZlpd56wMVF1c79gayKm9YSjIV+lGJ4UuC18HB9SeptkxH/TuMpm
wSIVu1Cy+Mm2gEV7Op5YpMZY+I0AZg/A7z1NC7RFgVkJC3NrY8JqWgxYM7YsgPsTZpfZ3i/SszUG
5jFRM4oARmVnjXjHyWsFux4NCaj9Xv9m/bJuxqq/YQXa3GeYwzLpErNq5xBiGyNzRxgPH1mlTpeh
dJaNoa34ArNZNyjJesJ+ZmJDs/BDw/0Sh1n7wOn8EmJXmx0x4h7GCgHJ7CWVnrasNi4zTG6GdLu5
2N4s6X8bVZxwCmIgJH4OVOmSU6d5l2Cbc5zRr7DR9S2vWSiddeN3l136zXIHw1iL/IDozZawFLSJ
rmQ5spiV2u1Lxwn9znZnHlddQmSgVBvIU7EZDH7bwvp6zYZ63Ced0DsoM+qUryaDPdI6Z1fqcaBH
XhjVNeAf9zLva26MpfFeRA3P7oDrkWEqlAPpJf9tVL1xad+toDdBIddfpTDDyZp4c5EvK1sDfBmK
9MZeqvloG/ZJiVjx4DDma6jQspToKZvM58KZcG1Owy23RzCYSgVWrBYfSdV+BXr0uQBRWA129hBi
iVmBHrkk1ktBVasfm0KJ/WTsDB8jynnCcOYZbrozo+YZEDXId8XMfBE4z/jEcfebVoIZbPxARZT1
bSMW7xzyWRGDolZJH19moXIKn7PBK8LwUEzJhzlx18x5vxTQK9LlaBXFNimr68HgyIHqdV/J7JbF
gj4DAUbjArqLaj0GSPxbwf/jaONjuNTXcZCtZ1NpL8b2mQoGltWzUh7xwy+xx5eapAnPU2BZMsEC
FVOidp01EzVGI+JoEtU3PYuPfRpFx8UqTkvDUqqovlroMhgBB3B89Zw27/+eK9/vmn97rlC+0Ld/
4cxSfz5X6KV0BSeLSecN65ufrdi0zqJockIQY/pu2vqhgrpfSCbzjzAcCdzaP7MigOboLJV/eLb+
IStCerx+PVdoSwR+qcHFxO/FMffruTJBZgB9FphX6VLZ836xEIvehsjogiug2QapSIWShh2iDop9
H93OMjqJ3lJxHcH5owVWvKLDJPV7tzOx8+CkVEeJ+JJRzJ5MpibDmaxeXhcZ18yNqPUaEpzZtygn
mc5EZjtlyLOScc/BgVbtyAho7LJfTnstIBxMQBSI5eBHMjQaWd2xlzFSzY4fB3KlMflSSwZNy8kr
hmUb1/B9BhlFTcmkLoQoSjKqDNY4FWVsVZcBVldGWWMyrW7SXFsWIdeenRZ+U/1M4pbYrIzC8mQo
PHxmsCLb+qtBXpbkJvYdxfa7+ZPLoMDTVfuDjNhmeXE5ycxtEZKzkTFcs6UThBs7lrJKI0lacoFf
HLdZa8N0NBbsJDqZ3t4JNj0FhBpZXw2bVkv2tzVavyELzJ4P1xKAmXUzGJ8dS450JCziqit29hcF
S5AFMxpcogBLNT76gUWJIzcmWVbtclYoU5ncZaxUuq64rhr1GLFqgYkNWV3k1zwo173cxqhT3BTb
TtGcjWNVB03kb4hpZK7s4IJt3wU9BwVIjqCwDoggzbU2sQl+SRqctn5rlGFxrSzdXG1zje1LqKbq
EzheIsjWkL4za7E2bEbg4/07RI8NBkbJeOMfU8b3yVWrXSfwLFb5gGQ4RyezCBwfRWLe1F30dVTk
U82Zny3VveuW6VobtBeDh5paLs/xkLhrS7SGb4fmR6xPh1EN5xcpFq5AM9M/YyA0DM0A3Y0Aj2iu
gcDv7MZRLrBC380xPxYMZdJ4oXMVTC1w5mghECO8PqI+UaSW63fWrO4W+6uWlCaVBnDZOnj2ecXp
ltGvkIausRVKTF3Ksp0q1P8mH5q1UkbvYVova3y4y8YZJUtxDre60j7HBO5LPjbkznG90S/B5rRd
yEkBaNJgt0+jGeC/U874t56aTj1YlaGxgUvuBdqnTzrDJidHSom6G2jsu8xObfJn5aHgVrGK6M7o
a0eQU0+/tlF3VeXm69Cy+s1ISKVzciI3dqxAj3AUucdixB6tG9ASE+JFTYS3mZlh3NYTEPcu4lKk
u9lrkTrPi136eSb2ahs+G6lRkTKwkE0ih4obXdzbSnQ7EXoksf5UR2a8ryJ3v0z1EUW1OpKRf7LY
MpMwuVUsC+agc6W47XWkWp+VuZzyvNmlJe/NxSIaUWlF79GTczMMbGmpFgj7eNskkevj6SzYo0zW
Szu0+0hP+pvAGSKqbTKCFePR6tr03yXfd8ux+rcpIz/7H69sCAv/+dYk/+CPWxPcN/JCxHENEyAG
0aCfdnxAlU12HdzkYVNqMhH8++km80f4O3XuMt/PxB8mKOcLoEUgD4SNpCz7z2RUMst/PN0cvo7K
+WuybwTMJGXWn25NdRhMbJQGwsLUs44yLTgQG1Rgzq3spG3O9DaRKcyt8kmY+DJdDJ1kCxSb+B8m
pFYZisMSYl6ipq5Zq4QV0Utsr+GBtK6ghBDOwe+Ty4YVQV/SujP7EuOpC8lBpiAT4pA00zCJTk7E
59i+d4lMhlFUbCyJhbWJUzIghLuGgGUXT4/ByGdqSKpb7H3EVJXY3Wlq+F4Qz5wM9YiZ5VSqjIA8
8DXCwYnGgoUkRkW8Mxvj7SzznnhxaUvNnoNOP3RW1dJ8AxZkCLNNWNMqxJgIooEAqQVxadfJTGkz
iXnjltOnVVqfMKsTD48LLA2iqO5kPBXYcw+QJErY6M4rHVfXkcyv8td8d4v8KmVV6BiDvVYiqywf
Jp5zvq5qW6C85VaATsOysAlLVvsBM+si8k8r0/xJYtbKrNpyQ/hgGXMzWmm4A5/kcBAIam7GhYxU
rJAFUqYrMLbgioG5xUDdBkl348KNCVlz2NFI9lsCBC4bxr1hdS/0ulBsYcCJ6+FRLZIc56jzA0SK
0TlPLQygqpsWDBmO2bgXkVJ9XfpIMGYP5E4SriflJDeA0lGZx4jZdZy4+6qeo2sj1e8xJ5Atpa1p
p5MXWUBMPy+qvarwYLr9XW9l4YnDtjosat7Q0qGku0qU/kh5qYaIt+KmjSiJmktrbvwgVV58Nr2z
MhSUJXAqnAZWNXmipIRMUcpzmIDTtPDs4qq/o9ELjS4hkd1PO+ovDmZf8BLDxQqS6bES8Ydt5BeB
khAqBc+LWw1rqK30r8SY0PJM45kq4BelMsg+hfZ2ds2SVHuy01U0YpvV5dQvG0U3CjLh+IcLQMSJ
TSo8vbACmyY4Nqs00N3mS/GV+7LjU75lrSxKktdVSlkRd913zVKe0FeQt6ebLOou5kG5Y3Xw0mVI
1Q1kjZrQSD01J5JC91ORHOcRGkQd6A9hzmEdNcEdDWTHLuEVqvTQ3LAFxJDiuKdCN58De7wn57Cs
shDkxaRwh6Jx6q013ZuxSU5h1ZAKkHl6e5DVujfGzM+SB/F102p7KifWcOEPIUn23hqPlSLewrl7
cDB1h4XAjieuonjZGU2+qlSix0TSnkTvONskVBAjYsYvHnNk6GoFO6P0DAW0aMkC76emzQ+GO1ym
hr6nJPmhL/C3DdTUrGtj3FeNkN140umnZDfY4d4qI8c7k2b0HVvOVtay+BhcHB9iSeuDbMs39Jrs
FpMtA6CahK4jWOgtWWcdv5984vKUoms4NYdz2auoM0TsNj0VzqFKyltj2lF5CXgmXRuzdZn07ruw
GEExSd/rlnlpmECkjR771jBX4LzkI64BVj2E6q3uFpvMjtD5ZVSjxXvpaiLb5YjjWtax7MC8TpBu
euyX8FZTzTc7Z+AMdeeSpgrMAKGibJI2u9FsHJR1iFd/1u03nQosXysykI9W5c8Gi+o81k052m2g
3n5tuiW4TWoyg3Gj3RXxQLiB+f69ihQYRcMAmJpnRBw/jtFw1bjRDvfEV5q2R79j/4P3TsULWVfk
P1qhcDVol/wxx2Qa0ncdAjC3htKH23cUTnPnyvByI2PMFBW+lEvs+pU5GPjAlycCoZQBDu2b1SFe
LX1zNuPsFJGPJrH6MpGX1mRw2iiaQ7bofhqiGvSduCYnfdm7CtQXGbtO2J075LBVBTJbI6PZcGDU
Fdr/nUFqOw7A8ZHiTgYc9yn6In+b5cmVSe96fsjFeF2NyZn3Ay8CmfCcbPgiUJw76eIcVGg6Njof
7cO3BYlyDYI+xXlHU53uCx12DclziwR65ZoFe3U+1TKcbmcWGoYMrLsWmcJYhtgLlaA7z1gP/vkO
kvOukYF3O2957FhAXmQYHrw7K4ZvAfkq2S8yMq+klFx9C9HLOD1OX32PPy/Gm0DYvpSx+1RtuBXK
KH44xUz8jJ7/Cg7fBQds2v9dyPY+s/85AfL7/IupjD/4YyrTjS+CCz2JsP906Pw0lZlfdJB4yBE/
uLo/pjJZSKyqjBsW6WyaU43ftWz6MVCVbZvolmXAttT/UYHOH2cyuGps113KNOjOMU2Jnvl5JuuC
nsfDUujnAieimsYXdpiujWH+PrhTj/TXPT1UZ/wy/PGTEHaT0Bk2+XTN0kf56zeihTLFmJuOZyG4
V3WUnpm+WPpDHtMKVephSgOfjd2wK6/cub+o0+re1glfVpA21iNdjn7aaOmRjIrrQQakkHUm6KUI
8mfB2DyNbVWtcyfi6i0d5VGb3VZ8w7VeZedSjbmo2ADKnZpqcUcZyHVhhsat7BzrfFq7eOnp72gX
rE8WLuy02ATWsKG9ufN6qLxem6JR2+aj4tiXrtm7K37MJxrKS+RPccv27EbJp5OiCIKoHADqiEOT
DuM9rWanMchDyIjaPZevjIjcMHi6vNr1Q3dNOdqGsoFH12k+9dB+CfP5uZE75LS30Q3m+MypcbTs
nM+tLXYk05tty8m9NprmHsPcLpbnZYa8SILhrUDA3wy5WnnWAMU3K6fKU3ppi2aLt9FIZ2t5LpmU
yZXpgJucM2oPK8OrrfSlt7V7wlOX5ZT3q1Kbb+y638JI3bE2VlYd+1n+onQaUAOGO18XtwocAKJT
GMhs98XtWN8ak9fXhJTa3gTUj6+WSwrZvDbZsrj96sws0lVLXCpDz8W1wPpfI/9o9nzSR9L4M3rT
GGnxJtWyMy11ycYwxu2Sm5dhGISrTjO37sBrG43I84olBq+q3RfAqjtCEjdlscyesbQPscXUHdJY
htMsu23Hfq+JdPAaQ31Xsxlu/Tg/ZNQTbCdjudInrgNtlAyUqzUfWqZ/6GOGrENfS5kRIAKijcYz
bslIXOdEpUjiWxe2sdB/kRXvS1I9RXYbrbmx3KGuQPmv7XQ39saWYMBax3GFBZruNN5ioFvwXPka
Ia7XIinDZrM4SjevhTU1TAhTGg+rWW9o6zOpZvBUe9xozij9zs10yDKEZ33WuPOwNDWND8Jx+1hw
fVrYodNwXQ0PqTCkK5uE2bJir4BogiPRSxN9b7AE1gg4dNIh4NSvaIQ3Wqp8Oi6/ppp7f8m7ER8+
t5qw7eDEjB7BRG2v5IJEwThcODS2eAqmfBGnWKDbIcZjHo7PVmK3ZBeryzAmGt1iMoOts4rM9qJK
QE53LaU33RNdvOx3XeyMiUqnY0mej4+sUaRnlApgbsp+yQhQRFzE/GWaiboM8Yc10rCbjImBg1K7
oT10O1EGkKIesr/BlW5VT2PjA3PaR2ZDjaSymy37dUrUl0UAprczBtY5e8nM22FsyQf0h6oMSXmh
XnF11Dds6yPX7NgoG/5omDtqLzaNFqGCLdWwNeyk26gaCZVwMF8Kk1Aas40XKA1pwLHa9mzx5nJ8
bkrSa/FsPnSdyspOoa32TkJfQ+4yAWiDXMv+r8for7wt+RTluDCR13BCoWPL/PDPj+uWNZAZzNZ8
Hue1vTK3wWG6LS9ZCa2U1+Kx8tM9bvBVcEThgkyxNfY/HXDn74Gln+vWZEzp9xjTf749RU7kkA1d
4I3/9ds3QS8GxeqX82C/VsHeVbuVO70oZf59ovivx8VffR+upeS2dBXdQYocP/+YEDeEFlMaedbi
CwrbV9xX3HA/9u3/8X1+Pf2+/zy8npyBOJjBoPxRkcCeInotUs+WODYWPHMMC+bj379m5l/9zn7+
Yf7wTfpIVVsd0vl52LQPEKL8Yad+OB53l/Iy5z22uoExuSJCvbs/OV62Og2X8eah9QP/OjmMqx1O
6IvO41/0yg3/8R/+/u8n0TR/+qWiDZGOE2zcMXr/+mJnFF8jFavamSDYKbiGGnipPYYHuqIxcnjz
6vCsbaf1qd6MOyHW+RHx/JqEzAY6/frbX+X/dVvj/39VasxofzNIXn42758ff54i5Z/6bYrEIinD
/+J3k/5vFknti47gZ0LwsTXA0Px+f2h79hcLchAqEe5JsozycfFD27O+MI0Ztux8MDE8/bOAIwnL
X95EJAEkvkhqhVCJuLT+8clgKPqodXWaXnEJ7ZoDIXwugfGQm8qjU6b26OdWk8+o4Ul9rbEz7XUq
TJp8N+33akBCsZBWIbqJO+eBfl9UtHi4Y25uiF5nJX1YYTKtrK5I5a2Jzqo2uJpTTlyREFisdBp7
4jG/KdP5alKygcoe/ZXwi1iLJj1WKggXiyPYDpqHSSm2aEDLpncoTVDHDwvHBZ97voCxVLtwEhuE
lHIHCZA6yIR8QaP7sFy542uq5VcATBnk8rNiGriE1JlOKjh6ThlcM6PiY5RaFMAiWfDr7AZLdjak
UK0t/dkExr4aS+DYGIwycpr14LvCTHbID5nvgo+FDhdYZIijpx7Am1eIKiVTCZRsqVS8axH2+V4x
FFQnq4t2URuEoMYqrvYr3abnbMqUbAc5h1PATGAGk9E/qnUR3tidPT1aQxOuSpv1fjvF4opGDH0d
arF2AuR9oGJOP0dFSRN1O9crq7Y7ir6TdhOVlO7iLuNb64nzGGBL2RW6sXhzxCJnHjQwY1NKe0Ki
NdjoqPg+OlWDqTUHkhrydyjq+GDaEBT2JNuVdKODZRlmO9XetNowvZ7T3K6T5DLiDt0HDuENqDNR
gbRmhstGZTFmJi4pqG+pMKNJP7MSBF6bXpSqGnq5TSEDSNk1+ZVLvCiXraLzRsoplqqyG3reDpXe
POtKepGMOFBqPb8zwgiZQhIuqvrMzH0q8oktYtTZ6Vkkc4xFDOthcspFlCyXmoCPoKajn1YJC1gT
3GI6R/s+x804BeRTJ8I2fr6E78vEuBYQ1FxVrlSMcgDOwi3w2TfiHXdkg+dNTdeT3rWeEU1+j18H
SPl9KNtB5q4QQG3wqsIFJBUQmCdwGDmMHVHulJAbkoo1ZIr5NxO+bqS5vo1WtE5VCagTbkojPDj2
OYoHT53Uky1GlfuSIDRZpQgSane0OE/Xnch0P85aVkO5/mJNGsHCubwdqeJCQxuJNRTkuWombLRf
4iN0vOJCsj/zIPxAY8xQ+bI1ciBQGiU596LALkPpiqb21Oe1M9XzGmn6ohzdjcNbX6Un0CtUekG9
QKCXrBR8/SwfE5zKh6Ltyrt/z4/vQgRn8n8XIjakC4u/2g3xp36cHxodPhZPaZQD3AqqpLz9dn5g
see5zfrHUvk3xE+OOvsL/xtzg/ZNaEDA+P38EDT84q3HUKdztaca+J9Y7AHj/PH8cHU4kbBsbQ0U
HZa/X4eQNCc+PHWBfWLzewi7eiguu1GfrXWSD1XFcynul60ztu06j/JweihdWU5bugX50y6Jniej
vc2jevaitkjXY9dv6RfwuDFwh1ILncxJhnHJTd4MPotcP0TsQ4Kj15v2bRABdHFmyjN98jcE4h/H
vtTS645E+i1h5Z2L4aiwacukFJGNeqyc0qBwRmhpNeFrJXye4S2dAzgW1jnK6CoUhcO10MQdAOYD
Q37pCaBWxZ1lK8YmQDAd/XbSgu6qVtoofujZCAygU8fHVHcj4v9puYujJJnZBTSXY2Iexl7ciNCc
SXQWD+oiSWBkWsuoetelw9+K+re8o864gdZFVcpbJIvZG8U8Wb2OaX966KNYrA02U8qgeEqOFhlK
Y7tZVSAu5hG7bWGbvmZGj/ioHW60KVZjcZs641WSVBgrlPhDd+27vDdhxiSx3+a8KMLprm0DwE2I
sXw38vVxJlbpy2zQJJ+O8U5duE3WUhTIM+euzjR9Q9VigTm5U1ZTou+AYa2KYWi8fIz3RmTQwppH
NrFjkm4tQDBif+BE6GE6GJV+Heh9vsZ8ie3f1Hec9hre+XRcu/Ok7zmMkDN69UMtCXn1bb5WAhFg
Gm+3eeG+hlF5BKd1bA08H7FDtpliNpDjRHxdWFxToHwId9lk6rSnQ+kUNqTAoRt4VUPdZ17IAoug
+tqV3CGtmEOsV/L3MXInejSKJ97SVNO5g72z5A6St9c1rvVu1TmgyUSisMAisuQi+BCSW4WRdhNU
FAVQnhfBVWrEGl5Bu+b95kWifAKO1JDq6w4dv8Gu7Tdw++LtJDhWLbUG+FeY+3xg1KnFo9Z2J4at
u6SjFzZW24c8jG4iSSms1H6rhZLXbxGMHKLmZraDO+LZ10vd8xGBMeeBOwt51Mc4Dpvg3ENpn7NA
oYRFeW9qJfJUkxFkFqjli+Zm5FwoXAlFSymLanqaOS8H0GVXyVzOmxLv5LrqC2OdD6CganO8IHfx
QSE1vDKH0qw2vrSSiq4W1T5S4Sz5jPRwzjDkNT4Anqklr3COxs3sdlfwjJ4GJVLXfNSHVTLn1jrq
ja9UUS6rtCpv+qVad72N4YaKadueFjof6Vvt0uFeH5dip5i8OwO5W2qz+BOM0IJKbz+JUdzqqC37
ocTpmjX6nn214RmOcxENCskAuKprNTfNzVgnV3Fo0SCW3uTZcGJoUJCnbAyqSerHucvoUNQbK2Ox
CYoQDa3B2lgX1h3crIEghPo10M0X1cjeybrKgkIWDmHHYlPRP81WeWgT213nef6Qj53u625/O1MF
u42t/LmczaNQShBU0pACRM82J+vakPWeOJ/UeT1H9RtQTdDHgs4pSX7uRX1p/S97Z7YUN7Zt0V+5
P6AKbfV6JZV9B6Yx8KIADOr7duvr7xA+dmGX65zwuysqKqICkoTM1NZq5hxTmWXCCWvefnqude2h
clx946roWkrXvpy6HlEuhY9n1Ig9cWJB2wslxDpyH1S7vQ7zFv92qaYbqZK929kJHPtQfywt47rN
WuK+Qwc/SOcPXt1ResdlSaJEpJ56PCFL5k+v/SQRZZqsuGKt93oydTdJkrvkrRkQ7Tugdhm0OuDe
wwtDwGwhGgLHVH8wT9FIqdI31chwVgs9Xas+DTmbFOngBBIYDJMI8JTuROCSdelFFGpUQmF5pADc
ysx/zHICNTMFtiLCvwBZLJ/Wso5fLDtnHezH09LM/VVg6HJj5XW1LUpjlWAb8kLbSleOwwaa83Ba
53H1WDvmKq8VHPRgD9kdXmFitajNIxdE7wDzsM3cFX0EkirQ51cWWRMrnJ3bKtAPsR3hdcpiZ83C
HqQ3VueF30sijLvuSwLJehWWrb7TSh1bEi4PRDRBvgnzHGLgkPHeDFJZgWkkQZ4t40WgYWgw236r
Z4jKhHDQMJn9Pkjdne9Oe+IiqREFi1Y/ma7qzEf/a187im0dpoaVc9jhoWIReVl24U2uMSJNJpGu
oGXjyg2VehHr7YtVkTZFhrOzHh1G7VIELVEbhMPjg7xsIzYD/qR6SRH167Kc9mgRDzDAPfRUlz0R
RUudUGRkeez9I7s+uWb84mB7SxsfZYQNStWyFBOAuglw2ZFL3woYkE3kQqrqcCe65KlIFNyc0XUC
rGuhMg9a4vS2LmqjfE2RegUgtUDCGQgVI4MfCf+DYGb1oYxYA/dddPLdDkuWUHtvqGpSdv0EfhfC
x3iMg7sqTOF2+w8WW106mGRpp9kbwJQHU8coG7an8n1u22YvPojXpXAZorpZekeSAluJiKmsRujq
pJaqp6TRURAJBRIn2ac1lYjBPdVUeg4wIV5Hp4GP4B8copvBi8odCj0grokys2Q/ZxLaak7qiyUz
MiViNNt+vasasSeU44tSOm/DyB7bQsqRV8rGb+JX1hSrpivadWOXy6bkq0Oh3KmxepiCfRazNO1s
HErJk9vFz2HD4dsrKmQJewvyZv7UOMGiseodhCxWyAlvT4ZkAHH2fpz4POOGZT+voWxHJX7BwuY6
igO+mQOcsNNDVKc4f4m1w/sHmY3K7ZEKbBuNxaqi0mG6bu0mE5l9V8L8q5wL3x0+C50fXo7Enfjx
PkE+s9az9sXAyxjgwl2UuIVUO8Mxld8JnRuemweorQUhXo5+YgZ+Ww8De/GG2D2F7qyM3APZGOx7
cPJ1CrJFOzYJpzWyNdwMFuQknluChF7WnBiMCEdcAftBhDKxisBoeZ31FX+ak6NVpe4kBiUiwQsf
eQ4RzNbD3SDjtxBf9yoYnLMU8bqY1o0Ldd9Z1zL3xHhwlOQmTEkSBoiXLVjYrWPc1xfSppDRp2fd
GVbWEDw7FvngGinTig9ctymrJ3Bo8Ey0ITa5Eff1nsvnJpgHGyyS70Rp0zgCn23qpbPRg3SjQRjq
ief1Hb28yt9HJWoeWVi8DFMon8O+KFR6x7ypd8wbhjmXfOidfoURXpFXkncnV81I8QyfOXdAeHTk
OW4C8ZiNyZgoXG1KvZ7cAGVBoawUO0YxnCjDKjIKz8iSzvP74h6Gx7TMnZ6AIhmIZYrKUa/z64Hk
7lWjw3iJ689GZJsAPwR/adSuGEltQ9t4KvPxknhlhI727N6PgNNRdzWLJDHIYht6QfI7aS5ZyHCB
npVAJG5pvH/ze0dt3rkoVd3wUNUEV6al4Y2tferb6Ox29mHO1cNOHj8JjBHEkBzEJKluivKZewtc
KXKIkty5baLI2LWd+jr5fb6eYnwKsnc2Rt9d4qrFnhAiCaWVuKCuGTyYgl9qwsp1pPsL8ErTiiCb
A3G1n7SkX+YtBlgzK4YN5+7BHVjoSJObHdSiTddzRccaT0iowSIx0uaiwWVeN5PFnCZelxrVriuS
x6TCTBOek5K8O1NeDKO+NWtYRq7TnwhXJ7q+bM+ZGX+BkMVwV2AjltGpCNSTCb4hzfuToZ0tNEPK
VHl1rQS7Xi0+J0OwbcPoobXb29ItWGhM6tKp16NlX7O/oQvPTrLSHqNSbNxG4WTMgu0k7Wkbdykw
wfg2nDUGNrXgMmzLaM+p8GhkRf85m3oGRFW8B16MYxmeAglu03HoyYivLHFf9iobluRqGPKnpHSw
JjctnwT3ITWLQ6SHn7MBMdafhv69oZ/3+f/e0AN1+b+L1zp/qr9Ev2rs50d/b+yNvzDK0X/jF3hP
Tvu7sRfY4FW81AaoWXuGyP89GDb5isv018Qxp1v2x8GwjogUrwP7ZEtnpmv+lncemeVPjb0lQPKZ
hKoIFlaarv6093eRfJbMF8KTAiHKM/usXTqT1LesqKtH3O0s+tqqremqyDCxFzDkTJjaQ9XEpGIm
4NEnq1dPea0ZXl6VwYhe0lb7q3FwCvlE0C2ZSF4wEpuiMQDtY40LnHp+vgG8O7USW1TTFlUqu9V1
i+IrvHZaHAm1CTSSbGqbc2IKpvgm4yi9NRj5agBmVHkdCoexmxbH4aosQZ0UbcomMcQ1lJqdfZeL
njuyRJ99VwKrHjEil5NcGDkF1oLBQr5Alg3zJOnLBx3c1gNKBUBwrqDhFX3qnzGCBA6yxzg6Uqs5
HQUBQekLJ7L8hVto2zxQs0Wmx91RVezsZFt5/wlPRLik+NYM3AA5Xn86XJrIynnUmGJOkOrdYrro
YYAjm3Ii0wYRmtqfsBLQHE1tFm1SGuuXTFN0L2Sc0OQLqQLA1FYddVvpXxh6lxRbp9fbtVnzhgDN
GJX+oUUGJpYJgP6lEYsuzJexG/qTtZy0fppvhwO2WnfjBg7fJss6WNtqO101dR8/6m7eXLl2Y6/i
1BIY6hojvMmG8uTqTQmnW+HVvMyVoFeXQTP79gK/6Crk5HQaZyfS4ockbbQbCCwsnZmmgJYdcjVK
N6rOMX2hOFT324qx47jL7MgYXq3BCV7RoNhrptH+Ko3CorpALkgDrzTyIlNq20ucqLlHUF/WjGAU
bAtYm/+cXF9HkUzm/v3kWqevef7PTZbKg74dWJqAHAXjAyInNqv3meL3SaRGBrlj8C+iJCy+HHPf
NllI21Wmzd9l6nzp2yaLDEhn5mzzH7a4MyLkN7y9GGh/OrBMfL3I3fmZjmMY84/7Yfecy8bWxs5x
z1qGf5GCcyrJyZ19NbqSh9rSDNk+PSL7rK/I2cWFk82GnAlnjhW7hzpnGE+a4XOCVlPS5pDGF6yk
YSDOK/V0nD1I0zYf9WrZ9e4VA7Y3qHDRAh8Mhby2VkC2BU3ElKVaq6DcHJBuY6lslCh9NmsYgnNo
WxAPV8lMgbPa2mNStbFVIqgZ1AE7HBaQBInLAyGH7uuk0btFM1tumClznSo3cubO5Yp4jjPImWQD
bWvHvgekxz5ueKGSO+KKSs0Zhmg9uDAUCK3Dg2kWr7V0vGRm3sUu9Du8INV5Ql+K7CJfaL3YVKDy
+pmZN8z0PIIma2xkEPVU3eGvJcvYa4rpM7POozMz+IaZxlfPXD6NYWZoQL3UiQmpZ3afqAMbg6h4
csD6IfPvvcoAKiVA/mWg/4glZl5RnMeZCagQZLnKZk4gXNTtMJMD3QgMnUDB4qmD0V8UM2GwnFmD
TO2yBatSJCryKjOTbQOc5ALvyheZYUhWZ2ZhXfjo01F96IF8wlfHzUKIt1YDKQ3wcGjlIZ4JiP7M
QuzfqYgzH7GYSYlYRZlrAk+cgChmSj7c837i236cMutoEDIPZAH4Xrwjb+l6mGmMNfa8xkPoUYUH
Rcs7CnCCF4OLMmXtCQqhTVwQC4Fpb9PGMahV+3AdkUQ4wuWs3COLv3BnJ0W/Jgar2PK6lOrSwAe+
JnHdvfbhELoEjIoRFXnBILM3pbFGAW2kXtpBQxbEF2B94PZ6gMDVsasFiUyCmXr/5zh8Pw4Fao9/
Pw6xKcIr/dL+80ScH/f9RNT/mncvs4/UctFgcOJ8PxENvKfk4bKV0Gdb6N+7fWSgc/QftlQdfQxG
M7Qt/zkR4RqrqtAMFvzfNjq/cSL+qJHBrONohOu6jgADSAThz5KjtoM5aRfmcNmpu4C4cgmybf3h
RfmFrOirzPRHYZFKpi5CBJA0FnIcStWPgh8YeTpxmE15qQ+IMZsLw2yQX4W6luuXoVpXXP+FNSZX
UxFZzikMQ/ueE0JLrtiQykWoZqNGlnVJ3GixrcLxgG97aenRcooEo8xJZ6+aXvqm4qWFspWNC0yz
uG5VlGgyJMansj+NUbPxJTSEMBtXedQKzzSqnVIOZ4Dzz6lMnhRwt11ZbsF+3mNPYRARheegbZaO
lm7tsKnAFdVvTGXWZRoNXsqJtY4qo1soCMEuWnPYVD3dcWfHtwS7VXqz4M+7Dyx1q7po5KhG2MPn
r2lD8Ic/Gvhasle/hKHiZCVBheoIpLepV3gkD35rD56Tz3r2YTbI2+rz2OQ7HP4ZY/n8phfBzte0
23rk6tai9nOSwXYL5fDSWMZOGnW+quLymIfj4LmVrXtmRCXpF/V1HYEgtA2i/AKpH7MAuVzb6Ffp
gE906rt7JdZJGAdox/0bOK7WvsV2xdw4Yu9uw3TLC2NvD7WBiB/AYppU8cZS4SAz9QwWY9zly6ik
Rhc9YAijnD6LrGDvw8qn6JRP5qDgENHSmyFzodI4yYNS1caFNpRbCuf4lLaDWODi2ZHEQx6jqKBD
OMEhaF/0uFi5HVOtbNAWxlgxW0rzz/4EStqvwPoXgdjVTld7bW+vJ9t8KSO8G4Os951tvDgNMD8q
8Tcno/EPDGfyqta9waL1ZkTDQq2i16hivSGaeBNqNByClPoCFUivNc8ijlXCd1looRveplHCLgO8
fOTM/i4dOaDRtMMS2py7MPPuEl/CbR90cHfTFutlWM9bt2tUAJVX2EG3yH3cJwZ41J474DSfzq4T
X2uYQnF0MMxx+8+JyqwhktZbHLuPpiA1AOmMvtIRYkB6IHkrz0iMCeKoXHCu3Aayus4NsyTSUD8H
qU0aThEOfFjHxz5O+fQMFXgkwJBsUqYH4hYQs3L/7uP81RCDtepr9TYJUiYsgHtGhXD1PmiZvCtv
reI8gG3GkgD/wdYF+1REEe4EjdIqtGWry2RbvssgB6OufJKLWbahp65uzIBgauoKPuXkO98mqu5u
zWmMLy19uKkqjXtQ+Zrhz4vmQJy0KL+gLmKhxngdhwd7gGTAd45E5bNhtF5qgWlorLvcXY6IIGR8
yEjLjBTlU93F7lxppBVg3gwTdw90i7zrwqvdslg0qWleMIxeBHqJxFQ/GnjmqcUU6rBmUXJtzoin
U1PY96FjvkbqWMGeZIhlTGKVpSXYc7mnnH1Sxm4/tCBAze4h6AwoRJP+qc7FEurUp0Lo20EonyAY
e5YS3GkJKcAkWBRC3btDcIku8VJmIX1guwKCsiC37wtjppRpWuwlTZssAfMuEmhQdlMjvWA/UZf9
ycYEXFcJTE3ceex3B/bbDBhjR2HLpJxlW99lcFmWvta8NqQxatX4WWlezY5PYm/ZK92ACI7iY0ix
y/kDRWzcSUVZquhz7uygH9dVVWuLOAD+ZTplW54SXb/PCgOw1ESkYU+Lukhjzq2LpDBKWiuQ8OtW
FvXCSanLHD27S6pmVbfD/TCkd02lPODD06/UzpwuueFVqzqtniqNNKNa/zL6zrmayGRMXUQjGfN3
wB3Ci6reWShxGq2yKXNvjMyRxyALr6MgeGZPqiyGpEv3NSMuis0W9WvOhowAi4dc410cwpsoIj7N
1ZVd1zf3nSgmFiR6tvJnRXPJ7wdrmnsPGBTOgE5JLa/pyumstI5yY8Usm6R0h2VQEwU5R2wjgWoA
T7Z2tuFqdrwqbT3D6vtNL9phzUy9ANNQyDU9aki1BxghaNk1sjwwN0Pqig217CV0uk+0wfNYbR33
c4Gq+OSQsv2eLHFDqX1fi/E6oAXf4ja4L1x4lMih/K9xEv+qsqV4+En4qSLyhrBk0evY5tykfbzp
WmlX4uOoussCZo0lzrFzY/Fbm3QL8f9Swf5YRcxKWzo9ZkEC0Z6NbGTuuj54f5umGFsyOIZLh+i8
5K4CUKv8DyHr/3qK+esfngLuRZoOXTpcllyYDJMuwv7RKK//e6nyyydBTsk4DW+jNlddH5+kCZNk
jPNhuNTrm6o4jAoxndv//hT/fFt4qT48xSy1/PB3tOyeAmGMw6VBfiGAWSZmVCG5/RTL//FMyHd+
+gD8+Ezzb/LhmdKwNzMLvN1lJYFE5SzZtV2XMfJd9tluQir43/+wHzWiXz8DeJlMIJ+6Dkpl/nU+
PB2ztXGqWzHQAd0LUL+2dROEe5n96TW+QgLm5NB/7zXO9VMevP6z05gf9a3TYCKM/Eejc7HfKTO8
4d86DQRiDEtxA3MamKbxkaum/+XOg2DmyyBwoKtxTnybvejMXrChMWP+KhH7vdnLPOD58IE00abx
D/R/5rEakICZYPDxE8J5KKPBVn20nFCy9ClNXNQhrr9Xxkrd53Yzb+JU2T0acbiLfPnAlQIl0I5f
9N4UoFPNAQlOmEKnqXQ13qplVS7HmM3mgtFpcRfUvSUXJJoTRpAT+0ewQwROemAj/gRSJXplgeSz
Fs1NgjIbopNyKoWc3MZV2EVxBXKygf2c1ka/qurYtXbSxt/qEjrU0GiTXhqVzEpiE1PPSDiJ4gSI
pJKMiLTIx7qkEW7o0JBYcoac6iRkpT29fiMxxYZ1sEs7cS6ngpg1lSyy4UroE8IUd+PrygH45FYE
4XaMfGKk59zuSSjmgkTjztO4mRygZK3VUrmM+yr+VPrOvsVNvgCqni8CtxGHHOjhAgx5spQWcLEa
v4pnV915bJuzktBcDAHcS2nQDhU4ecOAZpXIxFYpkUbL+i3R2+soVa8xOmYmt7Y2v1QqjLa6AXQB
pl1QWuE9a86FjVbEJzz82BspTp8ifCP7AcppCSddI6y9A2fgSj0DPmIOq9KZy7pq0thxZeu84s8t
keqhk0XBM9mWp4k8PPeIMTZRGXfM2ZtVS+AL4RsIVGFBoojB7OXiAy41HMeRcoQfueotgfi1K43b
Bv8e0Yow+chbXAHwpS0pM3xEE37v0i4fTHIKYqZFbkSyDqndi0bW8frDpfiLDven24bBrmWGD+L5
s7C0EP/34wc7VsNBTdwmPmlqWK70dNCeQjlramRCXMz7c/1xUQiOg38//7ZZ+VpHT+k/T8D5cd9P
QAYqs3UKm/z7hJkT6PsJaP2FhF/YFEPv1Gge9W36zICG4GSV4QcPtN+hk99OQAIdAaSQnsnk2kUl
81s6WA7Nf5yAzJ81jZWZxrHqzgzLjyegHVZ1PiqVPI462syVAI9uH0sbT+ubOk25SavZqi3djY6O
btoUVpIQPcgJRQVnGcknX2O77eDC39Sit+UFtPyXQGUVX7j+Ewbaa/wEGdGnSLyrydJWrBQD+n21
ORaW9RaWKPCTDHKhyMkYQrQEzamBAIwa3cYGIMwDQa/ZVsnTlnEH6i65IGI4XMRxUJ9wKSA0RLSB
4jDZ42zPPVY8clWbdPOYQ6B8YE5d4IVl24fe92T0cpeYRA4Xrb/PojRZJYrLLpzhusNsAaIezku5
Gl079PSWNqSix12IxC69aqQjYG2GV9JQHtgsnUtrzHd22N0Q/KfS7KFsQEFRcvhJ5VTH1suQ0+hU
hS3WhRm/TXH8iEwCqoLRi2xL9rLPERrLW9RBPnK+8BhA09p2YfzaBpP2QNuPchItL0dLWnl2k4KD
YHoKr8rN3T14CbG0BlXZ4fNQD2aUt+sIn+xFwDbuUNv2lQOL+JpJ0HYI5Y1SItwvDGCYRAdf2RYy
L7y98LFUw6I9Z4o1sblEgDMwo5eJchBhN0P+69B86MsAiaqqAwT1pWjXJBhJxgRTXVv1OeS96wnX
io5SMLNAcS98JJYxP4kgSVeBQeW4hARoTI7NLdxN7UbRujTakoE17eo+d88RGIqKFEkHKYnLi+Cf
XVQlqDoS960XbnLQENiKIJuuIRiK0ftzen2dFDPW/S+nVy5/oeCfR8HfTy6T6FjuuTaA7J8U/NRu
AAbYrhOcYr+H1X0/uSj4cIZptjWXVi4Lrb9rNxPgIfNWB4IAhKff3pv9aHOEVACMX59/B3DlFHH6
T82EHqalCHq7PWWJRbZpkUbeWGTM0q7wFs9b4ujrztgIe5UNctLjqjFFqwkoFZrMh4UhI50AByeq
5Bk6kInQyOkGs4aPM1oV6UhmGupQ+ZhucWUYaQSyTPHjXvMU3y3yx6kmBeLS7jq3zj2bTChjP5rm
QC61UKq4ebIneO0T9BEg74ipxposCgaRYb2Om9I9hpUabgOC9C6qYTBuqwJSoAPio+oKIvKMJGa0
Wg39PpKonZHd5yc7TbpPUOKGZxU2aAmEKQyee6MeV2mjZofISgpGeYV/ihXTWAHkCTfU0Vg+nUGX
uOA0f4vAbzgmuT2cBPwRr0ZiXgyYB6h/tPqJyCZ4oi3KskWIPnEbmnF7ow0VSrQwN1+cKXXXfZgO
TEChIMBOWaf40j45k5oSOIIGP+3U0UAhyjbMbFuE3ZYqT7Vax6sE7sPKKAWCKJJOxcD4GdLk1Leb
ylchhAhEG57rhtojtjiyN6cJd1uiddpzwoxs31VNsJWsru6px3R4tRo60ZLBzeRk3bnrkhde0nxb
UQ5di4ZM+0UM7uJoDIhoTbsITxIgohdIMzqZUdOsXTLSlvHkOqepYlKSVTkTGQlFMmQJ94IALT0A
bWnuuoyA4IaUEXBgkXYEEp0iig+bBNm4z1h5rKwrBqLKirOvudQjvfQo6Ys9stJ+3zTJDnXmhA1e
cVaVKce3wQjTjVNmwW4sIsxOZmwrx8i3VLgUDXiHQqJRb1uO8Eo6OAcDdOskuE4Xo1lToE6a6+/S
WrHuGOt+hgamHTQUCWd+fX+lJMALCGdBvlrX6llOIVZ+6IPbIEKRWMCYYtxYyk9h7Qxe3wzVUkbd
uAz6yV81IMuCPyfr177YYNDw7yfrdQET8Rdn6/yob2crmgTQeAL3rMV84kfeuDYv5xzdNixKwPfg
rG9VIXg8vnVWNf3n3P37bHX+UmHcsYX7D2n296pCZ57E/b0ew11r23P/gIQL173G6OnHqtBwsrg2
Ok2enTaoL20MEZ8iRKT3RWpoOzkkyQOFgL1y2l49kj/kX3Als6XACXBnuwPafrVI19i8Iywwhb+0
lbZmz1yFS6dST+kcmNvrwj+Ypltf6diwLvqeSgT2CRQstSjHjeK4u1EjBYBBcrsRpZ68wE2CqZyT
xavKiR152YyPWRgGu6ICOW7MCDWNWSz0VYdxXC3vXK1ahKn+JP3M3nVU1SvcNMM+Twp3WRfDuBhb
1yevTj0neleg9MbX6VrQQ5ltI9SEjlS4ektwczy12oUTx68l/hXjqs0zr5qm4A1V60M4Bv4SCeiC
xcEuLiaXpVOebDWMSAABbe0yEMG9mkhMKXrNAZhfmUWlLknzVtatFUwQBjt9h4vWXpIQsefO0Wyj
1nA9NQyNdZLmxrLXNH9jscG6iEi03lUZNhO/6K+mmiOyTJvZpWtOoGnMZZzAxNMC9xTr5ux75dVR
OiX8FDFxIMJYiHPTaESR22y4qrDZdVr8CAKe5T7tNcpli5jOgMVNUE0tPgLeMIIfa9T0hJH7ltjE
BtkOc0z5SF45aacEl09EmPdzmPlIqrmSEHRaqWiisznynAp4kZCBziL6KrMD/SIZx7VGSroWD617
MDASgalPz30lLgvNuVODxiYMEH4oaet05CaNOsKQOYjdmiPZ0zmcvWlMEhrzDGeVeDXnAPfGGq57
gtiIa+sTPKpoKgjGPtvkvufkv/fkwMejeyzJhQ8FAfHTHBVv+RaQ1XiFY++cTVGLtiVbuQazE5Ae
R1OWXknuPNOp1JtGYw+6nK+QTZ9pNWYYwupdPL0AWiju5W01x9mPfmlcFDM3rX3PYq4SAsHAsljd
C1UJ4F8dBe/KL0YUvnnJVZFFyUFY8O0vOpkWO3y8Oqkv9XgILC36Onr906QLVvf/fhjvUbX+okHn
Md+OYkaUlkAIiGQUTf7MJfjeoGvqX5CqQHHjOJ1VqxTH345iatl3hYJAuUpR+1HPalDm4m9VsYBb
zDeZOf6GGMKehQg/nMQuyxKyqug+oZOgWfjxJLZFGRBSP7UnFI1gI8ENAjgMtZRRmuGu7d55wpY/
rKo5JRfYNhfoLmucDmOUPWsZo3dZY/gucUQPxBwq7mK82uW7DLJk7ztc5ogjOWCjGxwPEORCfUI7
2UwNHWSInjI1qahz+MWl6lM8ByyHABDnc72tGVO4at9Lh4oZZLc1fCWDZsi9IW0eshBQYIlKdtIw
T+id1UQNo84xEjvyE6fiOpjoNJEs+DG7WxhFa1cPUI/ZuDTGvrU8Dul4rSSyWg6VL9Z9YonlgPR2
rSZWfccdpxObxJXWtNSbTgae1NxpXKYd9g1GGL6CtskoFdxm5WQdO9mEhVdqhXUdWdbsGrdL7BzI
79aiDJP2OtFTmJ2wzdPzyPBWW1c2/y+DprifBsONL0p4hjGD1rCwt1hLdXX5pxP92olyTf2XSzTK
g+YX1ygP+n6NQsQn/oRrUVj4JX+6RglmQT75Lh2f12PfLlHrL3iecxFDoigBJPPs/9sMbe5EuWpt
jaGczQTut7YI9j+KJXcu1NC3MyuxsLrPl/CHNZPw9RYklm2eiE3S61ss1dDgF7nMhBeCXAcnjPAw
OjZOot+XqIoQWg7plarohIPraYbPbGyjRcsaAguJYzWEJBU1xAubGxdOy4YLqmn8HdHbmJWKtJiS
qwLTeIl5HKzn4zhoLWII/SStvPKM2WlOACSu3yp8Lmw0fdrsR2fUGJLEpVD0kLOdxwkhHon0Bmzs
ofDvaZ4wtheUOtJL3w3vCXlG5CPigu+BmuCID/mp1qIgNDM/GookGxh4bGREPtTVdCBNC96dn/fl
s0ZuVEBs9aK1Mn8hynwFAWRYFFm8qWJlE0HoZ1uRP6s6Y+8UTKqHw+o2CpQX7UhQ5rEwQM/qNi9P
OiFOSP0bUTlXWaEuXdmv4+lKtNbt0DefSbVZGrgr3eOfC/HrhchH998vxOMTYqtfXIg86NuFqBHd
O1+JfNxnEuR82/s2zdb0v96HMVAVSD7iIv37SgQFAe6JK4NrhDuYzqD725WIYwSdH8RJLBuIn/nS
b9wsAVn+fLfkYifW0dA4LMhhNOZp94dLkawmgmUUItP0LLyr9LRFiyqx/5dV5YkpW5EouhZ4Hk2p
LPrRvUM5EVyoHUu3zLVuYgc4btFuszheogLxG8+2sfIvo3Aob9PCZXKkqVeBktfbdogCvMdprDxr
aZFh8RN6H+5tvwfvaOYqBSups5umBV2QERtxpeZU4EVnXQ+JNRFLIM/gxpm15rpXhmTdVmNxI6Vy
h+zjVi/M7kLVgPao9bC1FAmZ2NkJZHPYs19qIA9mAgklACtdxtql6yh3Wt/kZDqC7Pfb5NiXIBs7
P3+TNaMVrA0r37ADT6szHR3deG5r8VSlMaTpXoe4VYRfqiGbvFb10bGNzjJQW+ydRShWBP/ZzDkU
Q26HsVAW4RDsRWefdQjegMz2EyAW6hMbD2fIOETr93Vffg5V90ExbJSEqX6VADVuTaQ5EWOMOp5u
23qAeSTKk/DBNJXFm6YKr6+jT25X9hcEoR3KINuKTN4lTbdXiv5NrU3pqYq0qab17mKCXAMfO2lJ
jEs2VcPGUA+tBZY/Mlk1tcPpHDpnTZZyMckqWfQtTHCw5Yt2lpcXMUCOjBSspZMkExtXuMHUXi+h
JMpHF3KNUUcFWiTIaNC2rqVvuq4++ynTch2fLXO7uipBAlpdtoZvgzIbS+2WRnFBZ3KETkTMYwHs
KMz7laH6zwkymyQdYTJ0oxfn41NgFeAcMG/CfEQpOOsCw96i7lKe1JrFZd3DTxAJxOXGfWVz4hxR
4/ZLR4XMoHWhBe1dR9qWz0nNgHu0Niv2Qgtw09nQ26e624Q95pzGSo1l2tuek2ViTQBSS3BjZZ26
yFnbirGl07yD/7VRO+1u6IlJDsJG9dpGEyfYF/GhzNn6BAzUlqGJNMPvwUoQdWQsUH36aymEeipH
XbtCiWlvoqRfu2QvyiHYZQnhKmOlPbH2Mj1WNtGZkDSoGQwlpZOturYhuVeS3m4O+bNsipXWR/dF
gInARXsWAGVfxKlMzwYxTtGY/d5q1MTWwWlDbU5FPxfxP802Sn3EM6C44pxmt4nxBXTlkG0/nJuX
X8vzj9jCH5dqCE9QFs/UQkPljMRCTuPw8RiS2MYaFv3E6jTPXXIpy5vc/RPm93W4Jngx//0edXhK
Xn9xi+IxP9yiiIc3yDX6z83m4y3K5R1hiqbP+RIfFq4u4CEW5aTs8UWVhe3ftyjnL4utBc0XsDsd
x7X7O7eoX2T7zhZHKkYH3CSyk58RkKwa6Ryq3DwnfRrsYW1V/vU4Jnm1oelP1oNh6Ni9oexWKDZB
fqdbo0YKbDLj2SQ+6uVMakimBpXFZZyS5Dp25HEatomiGx+9Y6ItGGLwX0mQ7xQ3No/2nCDHmGtl
ZQH7QXgx7uS8mnGPFJHr1YP+NWFSIVo7J0UlJk1FeY9VmQNWAPGyqSNyJZ3DV5o5hmXAt56SyzIh
YR204FM1B7aoc3RLo6G3zUlzaSdxcjm8YBiRz+Scp8rZogi8BoOzVkiDUeZYmNwv9hU5MfUcGEP+
0X3aYkckSSbTzNsgmi2ODjWrga+RkX7wwEh9qzvlMlb9B3AbT90cUCN7IjqTltAawEZEwZBjw16q
X9Q1lnebjJtqDrtJag1TT3qqsJjj6Q+OFbk4Nfk4LWEGLS80jA1yjYsBvJhf/j97Z9YbN7Jt6b9y
0e+84DwAfRvoZDJnKTUPfiEsW+I8B6f49f1Rdaos2+WqLvR9aeDgvByXnaKSmYzYsfda38LXR6hO
UYmdRcoOzUbs1cTueJJk0gyPulMTyWM480GS0eO28fW8hPbEIt33S4xPswT6eDOl+hLxUy9hPymp
P4xRnjNO0QwLKt8yWrmJ5hx0cB1/IXq09eclPqhk+yH445Azkt4WJAyVNVFD4xI6lLTtQx3GZmC0
b/0SS2RnBBQxa2V+bdlrehtvyhJixMp0bpZYI7kEHA0kHblL5JFC9hFhHdc5yF9vgKVnojZKRe34
VgTlcFqik+ZSHlyylBxGLEG6xCuhXn02yVuCBfVpUuV1g0h1aLXnsQYP0pLQBNUaFM+YAdFHbFI4
8y5b4pza92AnEp6mJepJ0SzGuXW0SUmBAuTH8IdcKId8qJkSs4IhsUQ3JHb3MiDnOzFEY7xcLHYh
gXUjX4+LiYj3DxdpXpxFJKziMhqwyxFf7zoQkgpWg7WqOxRrTciLs+WOS5xNqyQEZVqKZOMpbN6r
MCP9i6NOvJsH9Sx5GK5nN3W2meLC3WfSRK6zfjCM1PDBSKyMhtfIpFbOaUT70pnUKiAqebHzNka2
yrQZ95ORTHvU6dbKaqrk4LqTpC9jjQE4D4HdA+KROgybEeaHq0ZnMC2Ia3XtwiBmmR3bu8YAGK27
PL1s7BoHsPbILHK+bTUle4ZLCFCigclvMPjWwrYOXMEXsrWNDHJCtBpMokKI+COLmMniysW9sy10
Mr+cEjCzNvbDJXghqMkVmTfKfJFRSGQeuvoexcGqzxGc60n30vbKVmPXp/pq96XdGxhi3INC9/Og
Rbm7ruqUMCgMIJ90+k4rCxpZ0EcULeZymCtjB+oJAMKNUucAs4RUvzSa/pQWRbjxSEMLxnZ0t6VE
ppZlubWtCqIPOiVV6ek0FWXj8vmGdkEuZXhsvHibj+NlwhPljxDb4TFexyPvWlUsMr4pdmZjmxSE
xlUeNIRUtszlPNefYgg2htvzCVE6QyrZAGqbN0VZXMdWYhLcAwIJbNTRjejlkpG6TazsGVjGtle6
W5lRVOY58R8xqOdSyy66vsVJ2Rcx5ud2G9b1zu67t8gIF61e1a8xd/PAoofXL9ypuCu6ND958XBV
ckfRWhAsUVQWOY8QOpmjPnI834xmfYQ6+TpVuobLoDiIbGQCp01bB+rRv0+x76fYhfX66wrh7jX+
XHz+uUZYXvVHjUCkASoEVKcoSX9Lp/pYI9gM5fBAsF6QUPDHMRaXG51gOkq0lX7zzX2rEUgCRifB
/A3lAy8i5/EfHGMtbZEufNf0pZFkLfHBrsfM5b3x/LF+JCjFUHN+jfPgxVm3Tg3jPrIgDJUlroI8
or9qoslUllx6HKLTSJQLZ1A70AbvIAiu82sG1Zsone9cpWq2fUrKTqmhLahsktj7+kukT5q2kqIn
ls22sUKtDaV/6IB63hBpPW7t1g5PsTnb+3TCQ9LoBqLXob2wdLNfWZEebyZHexFh96bCYN3VY3nZ
EleYkD4PoSmZ+hsW6muHJtB1Q8QplIWR9TkvwcG4POace3guelRas4djoeC3cqdsk0a9stNSSCFp
kdA265OvWok3GjgIEceiTIedTbd7FdXwbgVH0BVcRO0c6mm1mvpyyazzyp2jca6uubxM8nLVwj3g
KtRDkjVi1WINxpwxkrEbntMqJh5V34mWBARmNp9FbjRHO+LAW4mBSKMwvaksqDI2PmNFxalrg9Ei
GXzeSpIDACKB0yGCwG9jOwxUV7mvZXfrte2ujlV3b0Gswm5LToDtPRqN86Vqq8uGHj/+3viAyO8K
JsRdNCwF29iuB+RObW3u1d67sLqxQ2WrkFdQ4uqr8+opHfODXSbPUyo6f/aUtylyMXwJb5Pkwyer
9F7r0mn2mLsSPy2FywmV2zLkBmsisPtTgtB5hf0kgd1QXblz+pCpOOrGAoJsXlpTwMiV4zjBBivZ
0VsbCCG3J78ydWBrUQJ7IkpiAhObh4ro3E2hEuYwuTY7lzrdVXz0ea6TEpQMqgiAUgwL4JJMdrO/
qjt0cKozpkErGYXV4olh3VesfuYmNLSvdZghd55icSiJ9grZdDZR6QwbezJCX6L74PL6tO1Vju2E
sBUQ/bQGypFp7BU00NuIYbVvuBUPQuW+zam9Njl2GTXNUlxGTqClpNwzfHhj6IbZRp0xXLnIAusy
yzeJdJBzhGyOref5TcIzEk4VLvqKQKRQa3x6SBDk6Duy23lrAg/PxhDudKu8iqfybGfuXlGSTa/v
IRWG44XHz+xMcVs3I4hP0JxZYT86HkFpJd780YAjR1rXNtMIV8Dl15XiycmRD+JWAcGY1l7QOfAi
K8gaK5GWmyqrL3S933ZKcd9F/T5ropMo6mKn6Z2f6POVng87s4cP6RCCTZjbdC5ynTJOzZ/jDrGL
XcMAU0dnnzbOSfeKy0TUNF0NAQwK0E5FC4TZqgAAAIDER72XYOpOTnqfnLSifs5RuCAf6kCFaeE9
p4zHvu0gFWTmFv+3R0SYBqouNkm+LPHoI+JGMN+jETQLcH82MXoK2oHRDh9lyO/X1H1HPWWw9PC6
qMgnziP5mvyGfSjb16Y0zIC+F0W0B2AAeC8eUgTuHreVLs47LPRajAYq76Sf4Vp35jobqAuzRn2D
PnA0k+SULO7OKQdZldMPV4vkWdrGXYgQx29BBPqNyBUKRO3Gcr1nLUxJzTbKa12hD6NJl6zkfisk
eOumxDqkd8N1G/fbsNTvhrgjUVqhzVK7h6RFiRk6xXVOfAaRccohHvP7xBIIRMV0sGcC0qKc7KkJ
KjhM0dy3S6TwuUmvUap470oAjxbD4LXS5m94re6AzXDy07DXGkmMOzBOv7a1dY4qDSK0O8o1agLd
L6HvHMdIkTvhggEcgQ/KhgEd4SWBMgg0ZF50O+FE7nVlh0Tp6HkFfai6PeC3IK9JizlZNsW8NUYb
wKxdWZuwmJ8KoqHJyPnc0Kpn8h73vjsO0FyLe90aTsR/8lI9CczB3LRpFAyVe0zqlgDyUOwkXyIK
NaKALVPdzo72RWr1hRWxZk+eEdgkYMNLeaUVSneMgPgpCpyEp7Obex9TxjPnpHWY4c8ljhivlrpz
BKtpJDbmwJeAMpaVu8aJSR1K3xMm9Ozc1T0YG9N6zQQLZWLYVTDkzo6HGz64hJtnjAzqOu/cepL0
PHN8yPne0o7EKYlbGKccaaU8aNetRdVnO7LaqnP0mb2zpWyPe6JN5ypAdmifXbRbuDMtfdt27VOS
abf48MCpS+9ec8RzmpHe3S5BqB3BwqvcqWnBTmRD6u4LafTTtvXaDb/fS5tS6ZZu9bULJR7bFIZX
yaj1ssxAtoXQ59jzLkaCB6lMQQx7iBgEx0KjVqrAK/qvmFexIDvNVyMuYeR6nR8qYeaLIYQSaPf4
9eaYHEdvgE4kzFUIfmt5yho/dJlMOSpPWZ2UKyWpNlUf7WZIpkitXwwMvMQrl7dzJSE9KOkn1M5f
sLXQUi2KbRiChE+pvZG43GoWrdJmaJyDVEABipituDQzn7x6x080cES2onVnT5oo7Yq3TM0q3y3G
8wT1lnI/OqlGUgANqt9chbM0TbRnEINaoDQFfYnS/pzF2GPrSHlSmz68bt3ygtW888ILEwpFDJpO
8fM+dvfqO6Wi+g1Z0SYqnpYU36YM1Heuxb/r6Pc6ekkj/3UdvTDBTn3S/cf5BV3An+jZlpf/XlCT
BMvqQ2yrh9nkN9XvHwX1UmujV6M25nnBaPBHQW0sIgpe4/IXHEwZ734rqM3/dCmoQfAwSCK2CU/Z
Pyio+Tnfl9OLHoPV3MSIpiHJoO/3sZxu9UUzajsRZnTMT/oxMf9lgfmls9W0l5/xrWSHhua5KJGZ
YtHXg47xo9ew0CrVq/N5uowyZ1/GPcRWXU/bjVNMWCsme+REjtRALjmjtlKjP9CEa93qIPEqMLme
feG0jteB4Qqbi75V3MYv3oUMyzxrCsx3gYNK+IIMOvQbFWKmepfxiAZgtxFLLbKItiKSe0TssqWn
1gTdIp8w7BqX0WBfpYusos4Kdd0vUotEiUDzYzNOlW35rsYoWxm/kXs2ADfF85X6bqcqgZfPpo42
NudPgVabBeMAs1CNW2JOAfbWzdRci4nfImnkRtLpWSlT/GTU2pGSDu1crkBg9IgJGprtACd2RIi3
coRy2cfDg5UZdyRC3baZPEXl8GBbVA2uzUKZJSZ0RjOIzOYUxylOtCjba21PnTLZxxG+hasWhGxG
LNwJjDaVzUZW86G1ILVCMqcadezVQgxqEzvdkYtw6if1hVzs+RjXxISZND3ZD7TXOK/y9eyh9Kjs
dCU84hHB9hZ4viZrWxqhPDZzfRxCZTsV2U4oSbQlCbtl06F5J+ugGZOLYrSMICRXE9R2je6x3YeM
s2KryREsEiIfKdm+lVW4ikgiLbuJ/J24uK1acYwNyg5lVu0v85BR17ckTiFG2kw1X1UStQJwAxHQ
sXJdEAUx1Q1bBHN2LaX6yPBzYXodUiaB1q1lzmT0Tma/68rSWpWhp6+LkMRHMkMuGntQMKa0+yGb
5m2Vq6+m3X/FVwd4NLeLo+EVi/0fb8x1DcwW3sTCmtUYZdEVVw4e5dK2c9UvmRLvpa1cCs25F7Gy
zWM0C+7csm27wCe0kyzc66EsN16qr9M2DDpNAe4+klKW6+D0hb5uDG68VS6b9fCoSRpBtRWt6YN9
Arx3UamU2wkZZFauXkl+6KCVF8Ts0RnStn2tfNY77VVRpn1lypMRUuI4D/CZKlceiBpxNxbFSetY
943UsGNPL0PPqE244gh09GRRL0chIBUDIgKtQFCSkU4vmcK+HbUTiZlk05vnhuZggVs+lvTBLNls
nFi5c6fu3gTVOUUZY9M4ujIH2mW0FMEQDMkRGvqeaQRb7qA91Ep857rFvVJXK+q8jRPVb7ozHRpP
OUy0Uemj24cm9bY5lnjiagnoqDTEU70pbswxPfD+jhbZYkZP9sps5GRlVCgHdaOmxWpO2W5SCp3w
ANd56twqaamI5vAeG1F2M+E1WE0TGctEgrXs9iJeN0qWrdOlux4Lol4bHTDWyGNxGmrk8L25FLt5
OzD77SkkeMI4opJd4glmjk3ovhBSG8GJtx+Ujh7D0NmXYYx8McyZ1qJU7fgy0wsdZrAICN2J09Wt
G6GqmCSbsVlHA6xcTUuPQwUgt87GFb1ZUPd1F20yz3yy7duUT37d9IpcOwtVxjVy+yIEnxVMkoYo
p+8XM8JBajdzzCPn8RlZd7DKMu7jTHkyRyfQYpJcuvA6E9VLP3l+GqYAVnRKdEW9XdJwDKP+1PUZ
XtN0N6TizWnHM8q2dBMBMFkZY/7MuGMT286nalZWZEeTMq1B5wlHKGeiK91V6synLiSagKjDNIcW
1uhfcbNP25rTaFoOz0RTby1T1Bxw+k+dMDd1y8ecjehjnEf8bQ9WXz5aGuFl3pTeTvl8Kr1xJxoM
ccqYPkbxvE9GHtFpuhjCAptVSOGf2zdCyLPV2c9TbF1WzF9dc3gcFz3pWB0SRw6bwST1eFKXBHIv
KIlSwNPQUWLaW3J5OKUDI6FPnuyjboqD2Chp/Fv2La5V7mBOJAvH7btmSA6CAG0f8wSRkPGxCZlS
K0l5lSRS7Ko0erTmhumK2u6sRUZAOITSTxdGybsnQuHkgsdvs+igCevZq4d1KCu/djOSc90dxgRc
H2EBaweskausLbIa+hwVN3XeZ6q5A/d6nUh6+57uHcx+vu4AEfmpSdCPquxay/4Uqhhe5nxliuEW
NcMahYpEWMT4oEjiK9Wc3kIVh+4sy08ERtA15xiAxGLbhM0dcQqSKUC1GyJyI1yvmE+aZqxTXT/B
dPlkM4lSAUJhUqvEpizoGFWmOV7BmKCl3kZGkLntE4CNaKOo7lld8Bhj2TTHTnMiX8RTsbFs+0uS
Q0NC/Kw8jbXN9wUyZzCriOMNUoS/ovFy1jq6FAJ3Z/1iZHb/9qE++/upMyWIZxJ1alOF0MpiWPl9
maNlFnGbZahcpum9nT1k3otp/bPZ+U+XWCqtD/qamW+xnfVcQm1wlTvnvj7D0Pnrt7HM37+vpJa3
YasWtSECAeOHt0G3Yy5GL4nOqORYHM9SnKbpTlHWf30Z9Eg/XcaiaDURYNPtVX+wj0VVOhtONkTn
HoNOA96803kOm/vevBoHbWV3LdFfh/dr/luEbfAh/vVRYgMt4kvSffmzgwQv/v0ggcAM5BuwCCwo
CDN/EJhpgOdwQ//RtP9d6un8J8sCpmHv26u+CcwYtpMyhDOGTDp0Af9PBwkuj+jE4n+LnO1HWww1
ieqmYSv5Tj42bgh06V8Y118eJH748r+LU1S040jYPODFy/jh4wMm69CuJ+bL5w7BED0Z9EWrzvoK
7+fDB/Ana8X3R6J3hQq/67froHf4eB1O3XXTEul6turB19rT6Hz96wssiomPz9dP7+TH50trQFky
oif0Fie3ee94b5Uy+54CZH0IOCj63fBc97s+uRJUxlryCvk4iq70CoPNbTQuDu6jbUWByzYYmdd9
ejtCTJq84m9uxeJx/cvflHPtx3thJEooxna5FxTxEst2/dgPiV9p5nnkWEELBPjZm6Poq4b/C3rf
/+tb9S75+LDivd8qjRMq8EQVvL7+g8afOa4mBtWZzxwOEw1cSJufMtYtgSjAbOolLrrs96nrHtqJ
VNx+vNFy4i/GEpf0oCrSZxodr/S6V4eliXcYPdG327x40gvjQPQ8EHhdSbX7ySg4EGZeSnqCy9gW
mSMW7n3dzyt9aDaamEnRnbexPA82ssUINwvO7d7mZDl5V4V+xalwE/ZPHe2cqLvrIveC0GOQqqD1
oUroCCsRXvkOPawZ4H9m3VWL8NKmXysb2vZQ/HutPzlqEYxIxZqnjubrrBgYYMsjM61rcvlS9F5D
qVf3uG9XtUFebuXdCUzqlDKrdIDsZyWRuWbuzEDJLcygyvJnmCE4fuBreBaizSwyfxNb/fKpNJZP
4NsntPjhvnvwzR8eF1yksFOnTp7VrbEL9/IkHo2tu2/PGHpPWFh9BkFrz583hn9oD6TxradnZc8A
eqtubdJV098Uyr/8hb4fEP78+P6wR5qgU51i+cpy7KBMK4nI6VbNplFXf/3VXL763973z9dZlqsP
+z1ZX4Qlx1wHTmJ+N31tIj+haauTZ/A3D8HCI/3pUh8fgh+aNNDx8tbg9H2ODT+94pDVTz5el7GD
/e1HZ3Jw/vqt/dkKCJoINNQCG6XY+P6tMXOcHCc39DNYYBI8Xgblb+qYP1sAP17gh3tHnAbI9EjX
z92w7nHjjYrfTdnfvIu/u8gPq6w3MWOZXS7iDUfZHIR9p9uf/vpG/dmW9PF9/LA8zuzVkHIs/azz
bE/5uFLtGy+99OLpt/fy310dXSRf2qqr3sT/XH7yl4q4iiSKxf/6/o/db3+OXqv1Z/H5uz8Qp5GI
+bqHH33z2hGH93trcfmX/7d/+R+v7z/lbq5f/+t/fP5awBZJOtEmX4T+s/Zg0Zj+ujw6fe661z8T
3vOq3+siGqzo2lU6oQYV63t78WODdfnPv1dGXP9fdRHIXkSQeOyB6uKRebcZ/14XoVhg9+cnIm1E
SfDPGqzAG757elkgqdUR3S+bF6JX2OjfP01D7010O+zxDJq/c4KY0TlMSocElWhOYqJdwqOQGSep
OR2G7EHrNZoQmOsSsa8lHKRpsGV26kAfyiDF+SmDbESA3LDJcUb4Qv+UWXVet6EMcCQjygKcsJts
LfLePLXQxO3cdbBqOWOZ4TqcSQdY53U12u0KZANGsMaOdFmzVY1kEkm2dmhwfTRpQaFHrQxMRwNO
HhKGsxZ9RqdJzVxaY0NkWve5psT2xkEYhZmOng8TOBQPiC92kzH36dtouBNaCyAIQRQRDxwY8MZ2
MUFbByV085cErvnaiwByEo46D4GStzZoGwQOiDuI4yto8mCxsV4GCw6DlAVMS9TpMXKyyNxac/xm
jwqO1tJ9Q5vJVKiIisCp+TuIWtDIB/Z6fKjjMY7IWnIXGViU4EiAmMM8qlUw2jhMZXXQ3sQe4pCl
rlRUjEX0HVBhqzu3pR+ehMSsaO5CN5BVdKhbJb8yF2xYPmne1q3L18yR1tbIjSigNWNuu0okgdqV
NkJThxRIq8+vMhXObOORFlgPBBE3zRggQGG24xqvMeEwO5xEfC0QJUATp0NNw9phOVFecPhGO1vm
PcVP5W5jWGbOGIaE2yDqdIp06OhYAS3Lhe5sq6roDp6l4vdW4vSC35kRbmVXh2zEht2npIM5FiI1
Z5yvPS+0tqNXFUHXx9aqGgsCxFoT+FhPuEQpW35N13jKy4y2b5NGq7YFSoZsYMkuXsa3NelEPaTM
LXmezTVoWzwb0SiunQQNpZy1BizzDHYW7kK+kao3BWDciAE0J0BwmtMTE9U1QTiV2U7LGTxidvxX
AfvfvW7+/5dibrHb/XrZfMbq9vNSu7zm90VzoSwwdnJNjfmPh7vog1sJygLUK9Y+CAw4mb4tmobL
YdICecNkihQ3WgTfplIYmRBnA2dgxsU/opD/feu4+q1qYtf5ZQ2HkuvHRXPJfQD0xWHSWZZvfomP
1ZVoRx5oPZ3OtQiVVe0S0By2d0JHcZjqs1hLrazukkHLz7ooituuD9udomqcmWTIMaFHPAFdYcm+
NC7hSajgAnEfzU76atBR9QWK6WPcDC9eP9Z31YwPJ2vy6cqLIqBYRen4Xh9Wdyb5CK2KTVGQHzeQ
XnKG9M/CO5LkrUVOue0xV0IJCbV1p2n3BW2tXZ4b/TZFo1xb/d6YXdDVfbuZTLr+9kBAW45tw4f5
+ElR7ZE8W/ehlHpyT0hndRED39kI6cEpz0pYOdyCc6K54WZShbdrqgrNw6iTf15w1Btrh5U8MoD0
lRy2owgGBYyvlVmnSNr64tQjxso85Xm0ELSJqifLxiLqMK4Pam8SxhqpAdaYQ9YqNKDdB+7mRVUh
8IJpBt8BgcOqzOJP1mB+nmxvYoGoHpFUP7ZWmbPORZAWouRWmEAWjFyxV0apOTAOo10m6SQqdvFK
vneOAtc+2C2ALgTlPaeQNN0IxYo2cUjdWlrymQ+aIZpd30LevTTz+cWVyc6ghc47Mb6Gc3dFRNdw
YtdZdNVsJc3oXhIYy0AhlJdWxUcq6mndzCOKIuNFN9pHOWZflLBGNhTHBwxGZ3tklI/+QKw0CGz0
lPU9SDqLkfnE8hl5Z4ZFwtcLExWdfaqmwg0qxwhXlhY/15G8Nk3ziEoIUuQkldVQZh4J6aSo2W6T
uWdjVlPjhdmUNe8dgcrPwTCgvFsHWtIz1szEOgDS1quC8JYEVlDpyrx5z0QKFxeCOuQHjrfA3heH
ApDuk7F4FnJCyIkx1whVssj9m62MoYPmIheQ+k1rWYM/uDivzCj70ujwFUhEmslDJdW+Amepquwn
dia5yUkX7pW5a/yIGFhGBO5iTMsJu6tv8pIwzyEx96jRFwZzod6VcditQtPcaRUi/dZKR+QgdrHk
SpL3Rwa7MYev86zvEsW19pll3bUiRDlXYrXFmeU4wOQ6C7YagS6rYuzVlZPbe4Wt9OwIBnGT2wq/
1hImea15O2RV5YfCOqmAOEghnD0fLfOhzfvkQCLGsTFz4jyrhE9JgPs0njotPCtjtBnx3G6AGG0F
3RroJEW77fAar9B6rN0mf4lza+MCjmJb9NB3APLQi+JTDdljckB8ZIrjrvMF+4GD0ViHCwoEoQQ+
NxO5Te+Gl0OjoL/37ECfPYlgauB7PjCEDevpetY6/BBNDXJklmA0FwyJ2ggzcLvK3M4RQYnqgiup
m/IYxQBM5gVl0i1QkybVlK25gE6qpr62FTQwEgaKokZPtVIYV3qaTD6rX7ZXoCD5MewUxRj9aIGp
ENr73GDSeOvgrJC63ZvXDuwV+U5hKT2Mdqv3bePf++eydf16/7ytyurPhNLLq/7YQf/S70tvnlbs
0qa02S7/OHawg8L4NtlxHc2k4fP9Dgpzl52TLqqO7sP+R857853P+0N/wiPWCQKcw6bs6D/0QbIS
9HZGROmZmQgTUmvBrLDf9l/atA8GM5sor8NsR4MP2LzmPYSC6jhEurcGDPAiivzWYdaAQ15f90JQ
+NXJS6+o+25oTpkCxbe1UGogLVqHNhkLmaF9Iosi2nagxY/Ut3vcHL4hk7MB7KyIvYsONK/Wdh7u
27Txh1mSUtG5uzJJAzniyjDEWow2nC9FXmV2H/okd9zQ6Xv2Eoewnay8BomhQZFR7pSYyS6uSxo7
CYmhoX0kByRP5k9jtADTrfSmazGqtmRPMMg/FirB5akstzNRoBdqbWIaluZK1cyjtOrLoeyPbhd+
rb3xmNAjIOo+uzYnsqOjMkRUQN54pLONtlbQAST53EKdW42Zu5Zd+5Do6leKfIRitdEg7M3vJ0f5
2ltYiPCwErrsXsx5BICE9xCq2UUi689dWnWbIcySYJyJ54z1BjmFFe7DCelCy3QcbNS568dPzFDR
ezj4ftxmK0zSJTyKk9Xgahu3i5jfYZXTMbhYo9z1o6b6s/QeUtvbwOoDHR5vVeEOfuem10zuTH8o
p5PbydOIXiEYw/opiS0iZvUmZaSdPTTdjAw6E0+WHI8j8B2Gu8Vb5bYX+PKiU5xFdDbMeF0KO0D2
KnyIgbsu9NpV10R3et7u1RqFNTnR3gEFZR2ACvlaRs5tFM7bfnFzFNg6cCJrq95QXicMHxLjh40B
hP+2KxdHiDm4bL2LSyROxRVRo/hGMJCwJy9uEs8p1vbiL4kXp4mD5aTQml2KBcUGyEQMOa4U/uGF
1jdBXVHAqItzZcDComFlSbG0mLO29RaPS43Z5T34W1QVcYYYYfrFEdOwQ5uLRwZRXzAvrhkGcq6f
YaQhHQNHzeKt0THZ6JhtMly7ubfkoCOXNLPxkC6+nLiF64dRR8WwIyRh9MR0OPOXPqrax7gUS9yf
hz7HrkrnRq9xJUGtaQvlWq295gb+dJFvtYl0bUMFwQqjotfDtyyaXkPLU/24yonWQmbolNNDZ7cv
IsPPVleASyNvq8TZtVbnexQWlk9tva4ncgcNZ1hDi243riUuNSM3eXOIcxyHmJQp3VViMoM4NEfy
Wx3pc6As/Dop1qKaUGfOFH8oUwgocUMAZN58zwfN6DcluydRTmWD+jBT9iXDZpviIkrztaeEu7SY
N5lbMnt3cTKY8mDU4lFrWsQS0Gh0cn2GAo+WkaQnJ8GHLjhkepPDeZSaoS74QB4ECIx56je9O/pD
0e+ZReBqKJ31XHRkbHhPsAiY0rcxYg0AiQz2EZYVyD1lVu48YGqG8L50I1hXQU77RHJzBjvMqOcL
s0/3Y4v6v9DV9qiPI5/tEgfP6aFrv/TtcE4nd92l5p2aREgS5pYQMTRTplUGZsZTqKK6aTj8L0zg
W6sPXxubKtgbir0geNHvnGHH8QCBd0POpEHKsioHtFVEPieWu3IBc8dmfzE65ZHscmJ2kHCbkfvM
yWElCP3ql+SzWd16Tn+V2MOjqtf70Jw2ZME4QZbmrH9TyanIrm6M3hN+ItuzqZKfFKW7nAWwTobL
0JaEIqBV0cV1qPcHcptQiVhLas28llLf2HYbGIq2r8CWEwZXSlZhgxRhcVRLuXFLk3wY5B5Nrb7k
IZIPofefjMTN/RFq357p/pVWzihSo2uk4SfPnQdfSvT+thyJVMt82i5k8tZRGhRK4u2NyAKuEk9X
nBU2WY4633PfDF2iKajXnS2CDivmBgBK6Y+QcWdRXwnHvZ+SPvYLy+r9qbCIlEn1/CkzQnpn9fCW
wkCIJxUBc7lPRXWKvW5YoVq46UGY60n7ZkVz0C84hXiaSFmS95mmo7Ciy8YKHHSldd0qYbWKFiaD
3T5OzXRkkAaGsy8Q+dauL+A46PAc4mk5eUVHLIUs4xAfwgbw5UoLm3k5MnTZw5CDc19rSqltFAki
woUVkauwfC3KcHg0EgJr/NV8h0oMSNs7OBOelGdtAU9QLkDghEUxLVCK0GjeHAGuDcv/BW07lst5
AmFRJY8VTAvsTDfmArkYKhPiUvfFIsxVqN4BE+O5s6e9XPAYraP1HK/K+wlyBjngd3mCfJ6W4ZpE
LPK35/EMNEr6pnRv5QLgyPu0v24XKIe14DnMd1BHOHBqLt75HR/qqX+d+D9iAPSfD/gQwMhCxMyF
Y4uz1vcH/K4BfjJ7hnfWbovVk7UZrhpfrpBAf767AYB9SILKF7vkRItqHe+qTYzRdpdexNt/F7jv
CubFOPfrAvdUdf/xv4moyF+7n/tEy0t/r3IXBBysAJz1OlghWkLf+kSQjj34x9SwpOWhTPjQJ0Ki
TNfd/iZf/tYn0t/pcPTdLWQJsI7/kehg+ZJ8q3EX8AAyaL5FBodKukTqD1+iFH2gO5ZMXPoikJjH
wnhrNo8fbsyffVPdpdf041VgwFvAtCinDYt78LEX1YSQBixppZeiSpN8XbkqE12vnYlWQC0ZpEaH
Kwm79slZAh76Jeohl+FxoH91Q0V0nUMV0a04OY2qCg5AIypCc7Eg5Fqi+io5EqNe7PshvkiWwIVe
O6lyvMaBdNGQPzG1xhmw3UFNKZ+LJaIiVRtv4yz957AnzDwhyUKb4pHtF0BjKijsGYG+JUvwBS1o
LELtex5GyOspTb3VPOG7P4yKxMIwYmEUSxRvuoTyksPAWCETJWR73XwIl+BeJ7eMT3qh0DRhXrhN
1Cy2g7hvyGGuAMg8VpVGLpNLTPMu8pb8X+09C3gw3Et77mbcu0tM8GS7cYwvsTbcB6k3Nol8er5t
FWlbWw3eqGzoCDCVafzeKsQcrlSyqv8Pe+exHDeSreFXuXH3mIBNANsCCuWr6ES3QVASBZfwHk9/
P6ij+6p7XMx+NjMdraZIVqEyz/ntzUGPeeHv54JImIPXYq9SKXYOBmKfBQFOe037a6hX3jPVZMee
yGHnju/XGu+MGXZ70udyKOFZjIfSbqzpLtaQLNbR7J7cRthHyt+iN1Vo5ssAZIPmeSZIvSt68+AQ
NE1Fh75O1g6UjfDUsXW/lKVjbATReVulJ5RVr6YYDCkbvTqK5sOAIejq9r297XjNz0W4tB8tUNA0
E0AzTw4jTp0cFACeLXGLxJDJYXxYBmzc6iy3bqm5D8Qwg9WlceI7s0t0d5UTj52Z/lDSnFEnLwx2
w5m3bsB5mizbBmumj/QUlkhOyVEsPc4VXPC7rpOE9Lhk4LTxoA9gFe1OGMMeiTSdc5Pe3kf41qEg
8ktSyMvQtEWQN8m9WVoHJ+5Tljq5L5Mi8yNDvWvd8RFd8/CFJjLnB/WHyEszX4yT+FEmvW8xkGVh
rT2pSh9EogsUvcy2rpIzAjIyTwx6rai+t233WSTN55zOz6Sd+Y0xHBnuA/wP1B4sO3NSL7Mz+IZL
rK2ln5e1TrwZvqpWTyqFEshRg6BgQ+rnb7SzQmx8C9Ve80chDWieiB/CGt4skXyVizC3os3aI4EE
q4R0Oeu5zgyiX0TV+2OfvVW8fW1nYFN37G04iCDSGbzU5W0K2y36UhQtar0xwojoprZQD6lFp6wG
tkQ+8B2/44PVU3gwJUtE/AT6YHNQk0tsMvjEoX7fyaK9jHV3wp7Jw9xpO1kjxc9CyBMnn08uHyK1
tDe62/iT45ydyjhjf3thdPAyy37s9eieivUzOensZ+4574f72CX8QmerCrmjI9ps9DnTNinwldc3
gGhRo14zJXsvM+0dIO+YtNmplM4x7bX7ZdR8qZOoJOXFMlOvlvV8Wmwbsg4WyYnnb3Vm73vX8t2G
MZVxCbXoeKSrfD7US1EcO9xZ+RzauL8KPAGRLHxrMrJd7Va7ECX7wzIrdfCvT95/0MChOeALP5tV
Eanx/38+eeNZy9tZyORa1pmOjc2dt/YwZ36eDxKvp4FzZAiDqIxzaLXlE+FWe1/XmfrkLA6O7ml6
6Jv0rE6hn7n2izp1uzoWP7CVRSCC9DpGaUiH/awG5cIzTemQV4aYmkcYy41Zk2ZvO91+KHGo2Uvv
JWn7rNMKsqVfjgQqLFyggt5Yo104aFUGSxAWOy1tdro53Em93LW5/X2W+SM1o8c+zE5LK491T71v
VbKH6+6uG+fSb+dkryNgRvSFSTxUmHXMdIep3caR2z6Yc695VSyOauzyuSYGlMpRgOy0mb6kyWBi
JWUD1Gf9ZiZL4dWCVqUpWYPOlmvcpodstHYWfYisgPUh/IlcOw0pXw6K3S7dWlF1llE+UDwM1yDH
k+xzSo50wOgKj2k5t0GZNje2jgfK5EjVAAf1BZFZzMeAQk1zlxgsEPmyWmyb9Is5r1aPKflwVfuU
QHhgXaw8h0yXLKu/Y0YlUhRLm6m9sSL6uSE84Zr7kXPIaMvvpWuf1VodYG+U76Emlk2FUF30hOZn
MtcOSrWeZd05scWrrkpA7nnYOKSBzLmueSkA8NaMo5ux0EBFQXiykiHOXs/THmu2AbyT1M1FQnX+
m1SrPytmfg4iglgEYDbHNXA8/WVESJdmpMMgT64hJgEjPTZ6/xsS+08psb/T5AL5a2CKrkWxDd1f
f4HzDLEU2Lii6Cqx4ijilvQJJUwP8GQ8CdJLRI2xZPtvPoA/5XX/P/rwi/zlu66/9y8ip77KOszk
inJR5+KRrhxcuPwDt+Ir9D+eZtIyPbxaLyI0DkNfkCc30cQti7H0VD2hs6tZXkvFPhPbjagxj4FL
Ru2rEyNSz1Wk2Fgg/QjfkS3NNxFm01GTQJQ8TUW57Re72DqVQjxhRe8kHrH50E+28bUsUgywiAG2
SZJ8Q6fUbGtVxD4n8Ox3FD55aC4ee1MuZNdkXwhjwYIeUV48d9/JOdlzKT21TRMIkgQ2upXuDTVW
tvRCweiPBSjh0qtenQtiUUZ8wXYyPehxQYMNe3ttRGJjuTSNtsOPuh31TVslh8ZUiHczn6YlfTHV
7Gh1JVzV2h2ehAZ9Cx3uUtFDliwpcEPtF3Oo+waSWS6YjFNWfRnw2FIUn1+ceNoVzbgdwoUnWN1m
XQRCiPiiTAGNqiV1/EaGl6p2YHNsOJo1MjGaHmO8xJsJbLTvIEEMo1O9xe52CkjORuvLDxHVUJn5
mjlBbdHUbVrtOFgDZJZl7G10ln4Fg1nM8X4KJyihpr9WgjsyrSilb8xPpyY8MEzoPbbMXVSZZ3uU
3r953P7dM74O4r88baPJiKEvPG3pubiLrkpQn+rncbccrL04O1w93jd93JC7cynex9O//uZrFd8v
U/7vjzphsJqgcIdY6T9/c4KOnSKj1v1S+VjEzrpXBbDI2kl5sQN1q365Kd75ZdiCOQ8f/I+8zmd1
c0yCkEjATf5vfpo/Lza//TCGynhJDiBr1BrQ8usrMasjsU042a6xelcZcpOoL81/qHP++dn+9Xv8
RVW4NDmcVyxjLtfPqNm78/2/fkX/4e9gE+OGZN0gUvAv72Y+iUVRk5rLW7mrAYkbi5nztxPqv/yU
xuP5z9f3y8f3z+bjH2zufNUfm7tL6CzcjqnpFoGLqyztD1mc+jeazdjd2dhogxH80f/bBai3cAny
4aohudnlofhdFif+Rmwjme58gQFm85+F/f3VFYwszoFnJhsAyosCV2f9IX59xBFrzK3eadEtdHPW
2ZxqgJYiLjk3ALfypcoAOGmh8JdkPtokVGDFjbi6+z0+5k9TGWpvdC1OxpE+NVueJkrVNoubUqQ+
IJ9TlPv1vEb2QHmxk8tn1SXxLEwws5pJ9U3rq5Sror92PTpxbXgTMv+hpdnW0rm/0FS+C1f6CsvD
M1e5ui+Y3qJ8DD07tAafH7sM+p4nO1HQV2n6Wy/twq8TpHOtYaIoUIQZ0N3xYxjbT1LiBe00qtg6
pJh4bFmPZRbfT1HxsajjszKTfuKKaPBKi40ug/y2hGL5vYh5BdyY1g67/OpY6bfYbq50R4hNM/Ir
EtqQbdtKu1Mkdi0ZXcpqOaWUPu7SxlLZmPU7tBZ3amFMG7JbOm90uolUC9PZCbOCFWnHb2GbUmqk
9TgJYweNFuC8L9X0aRjmO+Kt442hdvSMGNI+UwP/2OYho7d23xZjE6TSzH3FXU6xdI9xN50IxVU9
G/PW6kM7RFqF+baEQMEiWW7K3lICJWmRgsfq8qXNSjB6snxpELdTkv4640jMfxq42fQd/eB8jIaY
HJhCJUQnT52dMTrKlhSQs6iRA5jke8x9GN7PSkHjOgXxwRxxm7oyp+RZSYRX9EV8XwplV64F4onN
EFu/4zhbdm1krHLJmOU0shP2ADOwCcomnx/ZoihCbAI1rel2YW+Yi791bpx7ms3eRp9TvpUFl+OU
h+/SJn44aqpLklWzz186+xRRBWmCngK0f5uEWrcdCtEedb1+YPGDryIt0k8niweyJxJdbU1j3+hk
r0T9AuugGpuq7RGWKKbcpFmxEqVrfGyqDz5C5gt5gq7vTOKzqQbaxl3tWoxwt4hfUp+dbsJOmsig
isClNEU8kqDxPtj40BN2qE3r2HLftRPd7NH4qMxhewjZ+mzTKMg5wqlMJCaugX7gMXZtCAukH0gv
zL2S41lM9a9sO0TjTpBfU3tRclwFEUb8jTkW/hLXX2fXnHnz7dr2i9YV90RDduYRHyXFNxse3mQ7
NTPpv+OnnOOXCQYs0ClkATxBHzKj5JiNzrizx/yNKKLWDx0w6rDtsORa8/PEvs1mRPbclChE7riZ
X5aQOlAxL4QbjbtRGlsgIrQZDSoaclzECb6j3tROjEvYKp4wmN8aUWF0d1tM/sWPpKsfdSM+FLpz
ol/nfunS00LKh87iHCvxRU2JqyxnVI+mBA7KG/NBLbHiavy9AdTPyTFAfVgGD6VNsgDY29voRnvo
phMK0h+CBiD47vVowoZBiswRg8+Hvg55NS5QyKNuxPQxiCMO0sCZoinsvdTuupciqocymOKKGLNY
acpHY+zbZ1bZEWRCx9gr1HZo9jAx1nuUldaxa/HD30nyG5xDVyvme0hFSnhJLRJTczfrfDp7XzSQ
ia016TwaYSS3Ic/L3izxbI8pXMHIc7e1KpZ+nsK3Hp/8QvEk7IbYx6iU6Dokp49UbyyoZXjvwFpM
BfQvrdQLsUj5nRQRY7bGCZdXCcdTRnxCH6U/osa+bwR5qJQBBzNRGns5Q3XZlf0AxgOeMDzXVrkE
fIp3TkhthdvDq6nLnWsmpz6bLa+q1A/IUFrZi5EiuvxBI9/A60hX29dSSXjWwtucqbo3dxmWXFqt
NwVy4uxQlCyKrVF82OVAe7FOpLQtCEDK0q+6M3IaTF8nWw8KAgw2i2Pt0DvxOZQogG0le1KncwFu
SKiBQ8ZmsezYtnbK4NzwfyfBMKc/hBHTyt2xUBs6+qZkqzGwbTSHNjE51MRh5uNjvhiTH4ecfk2e
R0EBocT61OWblLgg2FV6DMx8Zwyq5uUjwlhd1A9JaiHqa+xzSOxN2aqJV49rWhfhonWsX81Yy30r
UgKracgjt4tnLOAwQvVVEWHhlap4SZ3hWzqKeDdO8jTC/GzYyU5htbxYtYNoN7nNVpl7eieOVYgq
rk+rIHHVQ9U676qBzsxQ8U4JpYR2QolWUNzmWWzZxSx9GJ1H282I4NbNTzEgXRoXDluDEIEUlm9D
OqzgP5wCvFNHs3MIQk+wkCeNTVi4zflMLG02wJcryaMM84+6tw86suGsm89DqTxnBm+16qB+7suO
42YIci36TF13b2GgKhX+NKycH92Qfq9a7ZTr/6WD/pcoZYNpC7zgn8+TT30JrFN8/v1EuX7dLxOl
RqY57Wu6Bqeo8ke/TJTYkelswzRM+eSaf/P7ROmsfb2E2Gi6cPlPdNaE3ydKuCX+BVMm9lPXJc/2
P9EMi1XO/OsG95utUrBq6PBSICV/WWg0nAK5Uub5bbHiIw1ziEkQ2JMf7S9FSlcsyMomDeWFGpss
sAxzD3i8S6ruFvcIGGTqu6N+X5DK0RvacWyrj6w338KWnq6iu0yLdo5AqpYY40SmlLMX29FbO8v7
ARfkVuQ5iJcQnhnPJCvIvvIWbZSnfJbYDTKGIifvipfSiE99Xzp8rPI7J14lLaWrbhbEQY2bfWXu
C4xQIz+vvFUoL5n/0tdRI0y2LIjbsmr6xXuAxkwbk1svyu+iLNONRUCgt8S2IGEw0yhwcM5dZx+M
MH8y5ukT9cWlNd2VxX8ira9ch8Ud8l4cpIuxKQdxs0r7KDtSVdzY+gLa4y9l9z7i7OCmGUhkJKdm
dJ07021OMi85h7NrOqZBpWghfM1I5oNNbpzWKC+oMLk2l8pXrfQcNwu1jBVYCdfQobBkjdJh0YJY
cPsrqfs+2fmdNfRns3fKa1Xfq6UR5KiiZlu72RYqJmMiLBPJQoqZw4AwNzQCZ6XyOpjhizBJ7e57
JMXDSCedzL8mc/+lUlTa3BaiTbQpvc4DL12dUTEBqOG3mcifa/MAL4XFk9OJUJjaHq6R6gQhcqhN
btFhPvfDYzwDjIoxCQheln5XF889P0ZIs52XJcrE1FPurASYsnE0Dt35xJ0NDpcqNuycA0U4O0w1
sE6JU57GMfyOVZW1QognsxQPCuGqntKJs5vj7u0tmzyViiWA3LwHBRkYibjm2SqRnU11+oTH95uj
ctWF+X1OOCTlBs+Ri8qDpHZkofxS+yrUqBDAUUP33RR5ZOEFhtkx9tuI6MokCypImgXJuLVkyJKG
faYbclv007zV2/7TsazKNwV6N9WuXrGQbF1ERGe8jXgyJLnZhA2O9Bto7Qaqc0LPhCRhmZDyCs2t
LsvckClD3XXVO56pUgPFWqTRTuA4ft6j+ZYNGRIltaH0raLmaV8TYZ9ZUB+4YxPPTtzcU7Rl2eVF
imQhpALDnQueTEN/r4r60Rl44y3C2Gdruap9+D0cFELGB+vBrZyHnjL60SAzVQvDg01W9cbioceK
7AQTJIDXkBJK7V+GuHkkXTutm8FTlvkjMpbWs0he8ySv6KZTGrgixVczomJnthZN5skN29kuWfR8
O2cPWJE0VFLkKi0fFG99dIN4iqbhKZMafkznLtN1ov6ixUQgQ14G1ulnIl+KTUceCiVlQfxz2kvq
cYMMfS0vghMsGAp5X+cjgmlyq9BwZxDreHfMz3XMlqpyQflfbBNnLraM1B/0yu7nqrM80mpn3q4E
cdVo25u5KXvCsJk5bKDXuoVwCvXI9Qh44OcZYGtGNt4N//6HLqeZmViSDW9itHKk8lD36meb80iY
Ik+OpW1/qZr62kri4XXN/GQIu9nKGLTpJDaKTnVGMTI7CY1sUnVpzqFGyBayaT/nFT/VBb80kZ6D
13fFm5lLQvVwM5DX7xBMPjQmK360D+mR3UPtftQiKXcuR6OZUSJOrI8Xx+Zl6eJbK1nUIP/pZEyM
xzHNqXUxy7u6Vdlwzadq4awstUctqsnqXDAHQKh94N84ViI+6vxy/piwLFtq/0URi+ZBm9VbmaKp
byweapo43nDWvTVd/RC3ZrSPpEJ1iNZvSfnN2GH7x8ph2moy3l9DIYnMaEZvtFfLfd58XUH3mVO+
jN0bB90uquN8o5vt0xyOz5nevTS1g6gm619Md1H3mg4Dp6o6tTBtihzPge+hKTzflBFxITSmHZo2
fSyEsVuqviTzkSD5DMbQlSlBBy6JYy4KOaMSCA/050Hcjy0Z+69jcjJj475ISSIlhSglCjUhoEto
VJ6LorzqFU1VldTavZqKT42DfqvhVx8SwUebrpK9YpEbY4sl2UqbINvENP3SHc/sFA8DOaP2JDl+
sRVg53osLDwzJYGHSdS/wDKnGyTvx7q7DgI3mAWKEKEKM2cj8WkESnZ63WA3aZIXyvd2xIeD6ioc
/4vSXNzZVpij+ywwuindLDAfAOkO71a4GuCjI/UCeIJRDZDUXkZuvZl7Q99DkX5ivI4vY9FB7USc
2PZLWubjrkEnhcWkXuarFjM1xy3vsz0vYh85HTxB6JWcX8cQc81NM5rypi7khLJhmgeo/yuSRsf5
6M2Z+OKJcvu4Ygjl8gCQqKMgt7SLDg7OaXQUkITAxDpWFEKZlMY0nhO74oQYsBSarbKPa/Nqmm20
B73/xBnyGc7RV64cFtF42lMz5ucOaTe0hpKWz0fS0Eo/m+Q3OLuC/GhWUDVFbRciCy0i8UqCzkCj
DEzdSCplrbWUmKKaI7RsVdqKU8SLXX3t1KNmhivMsFcwt1yZuG9GNYV4/nLNy6T6hZefW1yTn9WU
Hgc9sgPy6e6bVuxSp219OsSLoJjUjJw1tYIrhLjT6vG16CYytOQaoeYLaX3J3fpurlMqQZcMh4cI
mkTeoUfONy1yUa2rnuzS/MbhetfR5OnJmEcAbupBUxrEDJVGiQednq7WXn/Sc/aC7ld0CCPS/Ebo
6AxFHvfbxM3mbTN1PA9jJH2W0HjTiHabT6heKmG2m6TUP5ZWBy8cx52d4KjVHHFlyH2l3uI82dKm
VE3ZangprNF542oJhhHXTD2c+OTubR3JRD3Gayo1jTqJvIwaV22mnSlFOIWyfCHP83UMyZ0jj+2l
1adLOdmDR9qBsklJCMHIFD3ns1qAtcjDkhwbs7lMURRUo06kcuKQq19xRyviS18Nl2XCzVogTDAt
Yq+I6GsNNp7J6fdzMxMKPYlLzvLoiZyDUEE7bCXCh2nZZ6WObGg59Y1hQPig4RcLO96Y53cGqlI/
6hwFfUOj+0NMeBzEV+WN5GNsiAucCfoHfkD4v2+JqvYbNf1qU5iNNrG/s6vW2LnNUO4it23Ped3M
kFvQv6ntcCiF9OuS6+fmY8rMGXZ8uCxJBvqT6JSjSOx8J+LyQHEE5IesjBSEc3CJuf25hfwX3jfZ
Tf75Oka+aPfxP578+EcY//qlv29kuDgJFdVsUndcDRMWnNUfGxlpQUT1g+ID9P/crf7YyOy/mY4J
lA8Cb7OyrWT17xuZIFuUJFJXsN2tlM1/5OI0/xJcsWL8Kt5NFTbBsvhua2TRrxi/rUUa575V3nSn
oQuCwGeS2eZ5O00Fl+UUaQc+YoE05kORFzofqiJ+y137SGxg4LgdaYzl1e5rxDfKbVFIPjaZenhC
y7NMbBaRpHmeVfPVcSvVJ7N7RgoA6DpnT6IJb6naIR/IIjJAytQGbzcWPMxLWqlbCUnMhW6RFqpN
6nWJk8EnmnfYxTSkIMBx6MVTO3YNzd0uKSuNFs2+RqXiEpYkDqpWue/FCPyNvmqaMWDM1MsiZGgt
tFUd7OmgfkEk4tMOvqWCsvU7lyxgoQJOWo31TfB7etW6KtVuSOnXIJGUT+PaEZl+cxPX2c4hYCb1
GhnDErGShRkeZEVtpJpP27KgAZpVSZ4sSxnPYRK7dB1Qq2kiv0jqHBxMUllGXdqNYnvPSudkMy5m
0In+iShS4cms/iKIfK1qjboZY0R5lNSBUYc96AqFRYUi10NErT0OZE7kur9UFcxFNpdwBIOyYzU9
WoX+jPmcuIs1B2gkgQaN0d428JLMWfJ90IxLVCxXhmcGQWBmcKbmVa7q6Z5RNUvAYmOHBVfViTDJ
MLwuU0fkOilCbZmChHcp05NOyUIn7rOQyiCIntHXl2hbm7kTjEqJ6RGBh662V52Ab7MG61fzc87Y
rsn+ZBiclbnZsprxzIR9e1cngmT3jJdGZfLYmjgWWlIt27Tf1bVxsa2YUBqXIr96SMt9phV+Vim7
JlVIXCnby5JR58I003i9Ix6ImrsQagsOPw+TZ+akPOtYrjYGE/pGmh3RLHQIcDuR8xm1T5M7xcGQ
FpfIDN/nepgDSXR21BrCtzr12azr95Rd1NdAIeaafl8nie4BMs/alPtLNF3r1v3eiLEi67TlNWzF
IaqByNFPnru+vSVlWyv3JUTY8jlPNP/ZZO67WfVMeABeK9wHLY6nS9GvTeyd+1Zm6kNnNd8degAb
unaqJaJZQPhVOx7dTgkaVUc7Fl+TsjxOKZd1yS1fkJVZtyS+y7CH/AitH+Sd9uy9o0FHTR/aNCcV
w/Koi+US1Q3lwTi4ggglKun+gu9LLINsdqO9tKz48X5cjLvGemsV0hby3v1SuBS/pNGp0Vd9Umcd
xthYCy3ukPPvwyHBcWn19xx2EGCdD3lO+WIS8fTV4Z3RdvR7GahEwSLLPnmwMSMzeT0uFTpY0RBX
Gk8J5loUk7xdWLfdSDOCZpZJYGRiJ6MkWiFljiU9xoE0U+Gg9Dw5RaXRhwzeuckXIJtJebXN4kfZ
qN/poMo8s5TPlF+dLUoJWdcrk0mKtUltkMrZafXV6ZXwTAP6hXWYY0JV7/BA8WGwa+1Gay1udHva
ovf97HH10vYxPRjjXB2MYngnDTOoTfV1TmyCHJD3oJ9hxeLz4pituZv66KWY3N7PxiKonHk3hKWv
Vs2dm8iTyuTKZDN4Vh1e4RVQf4lsX+KuxSVgfXH60Oc7D57hmk8Y/fVdTB87Fhqt2jIfTtta0S8T
H4M7esIerLndT9JMvEIOOWC3Tp5WyoLPgs5+1vn8rozeWWt6blJ/xLhivW4GfsAMt9Wc8kfkfkuA
/FFbPmS8JtwDmqdHhWQ1du7yTg+Q3/AuDpm5qUK72QwLkNI4pLu4JlUzSSWa5U75jgp76zjZ6k+M
jtKKrnGKo4FU1uFkKlqx5Q2d95Y+PUwoFCloQDxaJuxuDkzjhFymJ66SHoyJcHg/c4xTTLq2B3H7
rrZLcuA4RrZmEsiB0UaJYYcS+l/ANuh+FD3EEymqbtR+y3QsbgqzU2PZzFt1fYlafGu6Xj321nQ2
1Tb1FINiGUAFK6uuBLrKQ6WNt6ibHlSS8yn1nQNL2KeydveKpoxP8TL3wdjrn5mL4qS1bXAeYkMW
uRi/KWz+O0+twrV/Pk+t7b0suh9/D2+vX/f7MEWOkKHScohv1wTjXlt6/xim1L8ZgNe/Ffv+yc9L
vKKKEsdmutH1n3aGP2Ypm4QhUjIwJhimyULxHzkdwMX/hG7/1EtQBmwwzvGhNPWfs9Yv4qi0UTLd
XvT4lqtUgREV0Vnvk6YS+W81RRHdlZBsx6WvxbuIzRE9j1LQfzdOykhmrd0+Y90sH103sbD4Gf1Y
BkZhdy+t0WtQj3wMtiKmFMcEtppW/GpakSy5Ylr6JO4ch6yLSLv1K+gl5w9wrg99RcPQxonWybch
SJm+Qmb6T/AMFG0aQr8HVUOYxgG8Am1ouVsvUuePbAXh6hWOQ+fcokQDosNGL0mBcAKM9kCMBVuI
1bsHM2o4EMD4qlw8mGB+eSI0PzMQ1obTFdQn8l3wwRqcsAIvZKQAOFwhxGIFEwk2WnbOCjBiA0Bc
C+aYgj0OYJD0tASZKOQ5B53s4wymOdQd32zBNs0mojdvxP9VgWsOdUU6x1JdDLYlQqvh+ahfIBkh
n9vNaK6NdytI2hl4AaYikme85dSMV6/GCqm2Gut0rzafmIVn+uUmDrG238s23akgshoEbWXbKRyo
6xFoDnIJegv7heds3cTqFdqNBsfaJwX/ZA4TEKlbPhcgwTBx9w5+XKeS37QsfhIrZNx1qXkOQZFp
5rtPVlh5WAFm2jGJWO/FOcLmgzPZfIhXNLrJEWlYNjxCcVrAq6sVuM5WCLsogBURGqQsg9OpIHux
U0cu+LLYyRUCp+1qwR6H3w50PF1hcrEC5pC1W1F1K1Y0esoKqseg6+YKs/cr4G7/xN4b89CtYDxu
hgmArb9fVqCem/NarNB9vYL4KWh+M6dfwxXeFzGoARUqgd04L9jnX+0w8nQYAZkzAEzrj6EOD8rs
BHW43CQcAvqXwA3veFjLqwnHIN3sbpnFe7KSD8VKQzRMvRtzpSZUOIpO8NhpsBYlm7Kzzuax4rwo
5JsDbXEfaSloitIkQQb7YVX5zYANMV1xN7TIILqVKIlsM+DofzdhUGJLJ3UcSkXArVRwLHMyGuRj
Udrsolgfathl+BgntSF9pksj+k8dvqaFt9GoAkhXIkddKZ1OUmdirTQP6Ujf5Ur8MASD206Smj1Y
IX55AmHG+LVeCSNNzW86DBLYQYCn+6uihJ6zUkz2SjblsE7db/RTfLJXQgoupmHH4E5X1EKelJW4
sn5SWCuZxRT5QdZUtu3gubQ2fKW3aiZFAHV4DBfmOstZwo31GkUncGWjyD86uLPF4pvCpaUV4FTo
HmI4tlaqOxPOzVjJtwQWrl/pOFDjIphBh009W0Xh9JHB3bl9Z5wSrSnuSQUMCewYtNWPUAwYdo3F
d90ag0jqvEBpkrZZ5kRR14jzg1qq3Q61CwL0oiwxP5v63TSbZGsk2jXmg+Xxnlu3gjj8jTWQoIhM
Y3pZatJ8Gk2Tp9RMrV3HS7AdpSL3WPYxuOJLYgqlW03dDKKLqTkwoAIQBJPkWam4PVN2lv/CHj9Z
6LVe5F9c05/F9/JbUvyD6Kr1C3+/p8lBJmXBQIj4W1IGf/THPW2umkdHIx6baxmD4R80NA2FoOsE
Z7tk4umGuTLUv4Mezt+4vilhoZsEdvovMVX/KraKRpM/XdLodCHadRthowMiY7t/VenbNAk4xOYp
N1BB+A9OTdVcPsMRc1lmSbz8mPoxErF3rDZ/NamaB3f1/uv2oAD42msmQPQzHsClydPvW615QQtF
fIClwFlSx7YuKFSCpvVaE6o7EA/tyD+ZrrkjUotmp2Z0dgSqT9uhUtyg0fRX2kjUb1FN/WitT1VQ
xlSSjmR6QGWtR0fJf2us1aV9pjfvbPrUma7Fpks8WMexsI9p2tDzRsifFaMKantl1+v9VzYRPhFr
VSqVhXDcaw07LarzWqea29aWA2K4OmvVar7WYoESMTPPLPLzWsnaZEjQyzUBYHaJNeKi3uhrheuC
pwecqL1LWyjAYu7kG5ff/KhpL4nZEvisZFdSemIfQcE9sTekEenahfylEl1YchvRdrYsncJBaWV2
koV/oG7WXotnO3tMjgXrDxcNtbSos9Rt+7OrtmFg4EClwJZChrW5glJbc623tSIXR2VpeF1iHmtI
OtQrJe2JHNu7ojWz+4mm3HKtzHXX8lwKFfiibFmSgCuAEmfPKCRV1GvjbrN27y4/a3inCa4MQZ7S
4N6Kadlziyp8tPi2uyFd4Ske7OJQNMPAYUZtbigU55KYIyaYjsInIoVb6p+0tQdK6+M3uTZDxVRE
RU1ubcYW8ZVGfVSmddE2pFCKMSP3KOA6yxCKyknnm1zbp2JqqOLF8nE0dDdKPWYvX7uqzMbBeF5Q
IKkM4tAMRE2waGvekM6P8dp2RYrSzqRcB/AYNdlk9c7GnEfd3SQ9NndrzQkAEWpA283LYFXKkSx5
ypJJR7yzrBaVVoMKTqWJg+gRvc3wHaSyOze1i6SVB+1GRCCsQm2RcG1yiCtliYYTnwWerH5n/B97
Z7LcttV263s5c6Q2emBwJgRbUaQo0bKaCUqSJfTdRo+r/x8ofxJLcezKOdOMvqrPcRCSAPbbrPWs
MH1MOzyrYlC9kVDni36gnU67QF2bhu8ciQFfK5n7TVPqSyvOrou2vfUV/VCXNpYcTSmPoxKNO82C
XcNam/0XJH1mDekXEfs+/eVrQ8JIlOJdMuzLMSzcFXCXTcWq3EKpxme+Yhd7aYKSYhK2N9XoMgvR
OUWt6R9yB+liZpX6ug0DRARDsKvCdCcJ50wqfiQnpBbomUIoBHkutMR5CtqeJ9CKroauYNGWcxgr
TZex7as81Up3bmOuHCmfMgmWEWMfGb1vlh3xasnWVPXrMqmYZtUF7kVxw/BmGZbxzu6MvdsDkVLn
2MEGCwtSsFsnBQVktLdAJBxuUrewUF671oXvTG9MAm/Mqd3ZrbPUyU0iukP3REjUipIABOmeQhaT
luyYZQUlfB3nVCf5jVNo39yEZzhL9dfGHW8MZbCWWVUeRgKPlMTwSn5jvFckb2NYw2TGJEqwL/Cz
F8CQX2Cy4U1J4p1sw9NUEM8IeQu6FRycggFWwZCAy6emuM7y4ThWo6dhR8z9dglMbBFOyoZicQvE
0MvKGAoDfbs52/i06MVyCPBTyi0pmF4Sgt8qi6sc1soqF8UGbA1DqxaeOvmKURdsB3bMWaFcdszl
GAghS9MYYg5exSMCctbzpbo0gK/4Tfoq09fCb2+GBqmHI9jnWYuoz+9Nhnf1pC9Vg2s0kgwl7Qqp
9blurDVtC5q94cYY3C9pDJrCTSHJFL3YZIb0XB+SXQbkkFU3Q+/sbcQywRtujS7cq0NnaTmkhgd1
uNOZbwyTvBdqQ4nlnC2rvHfC+iboIPpm33J4vJUQGJIHdWHrs3ilXNegMoB+r0IxeoEeXusyPBSd
fkOx+aYqDfMwAqJ6Kn0htorbbZ1aYRyTnmOzuGxM9ZbWZmH7br2wzHLlK8wRRbvmUTzWrrNW9foC
FgcXrFZkzgy0P/WyqNiQ08C+9G1xz78KIbyvL8faKD2epGpph2hs8v6pzmsvd5R92hQ7MvMYuYHX
62SyDhUOCVJ0GD+HIyg2y95oTXeHlOSxIdF+LO0dHgYIhCTLF43c5lDoxJDRmpku9svuvpfirpDk
0yqoIJjmRD4gRib5Qd6Qn2hyd9obrE/XDDX3JZbJTmnP7BO2zuBf+fq0y43sAqTjAeAGUbFttM7A
lZT+LJFEvNE717F0L3V1eCgtrLASXxQsk1tfWtc1AaB5bd6Qzy4WjlozEjKXXcksX04zjSO9ZG51
keKlWvQo9uX8opqK+zFp9po0N2U5p9b29Oe9V/dz0ZMj3MxvZTleqFqxVzQjvFJ84T9DDk7PNSRV
b9KaCymQkPVQcpqEgyf+hv75Nm4ytJX4Pheu3TwYuMo1g6ijgsjYSP1mZcoib6r7RIY7oalXvG8h
1spkowLvMqfZM5baiTcJ9SE063Lt6smXTAK0r4ZkA+rrFCdOTDdbsluBGgObYeuTrdxrSraKSLfp
QCLYAFM8ddSWSYqaKsxPyLg3sT9cDPn4rVSw0NfxUyNJNeT84wmAoBN3NryWgNQkJfcQmyMMbb0s
5ZAYSC/uFOdb15lrYniInLXXEeFveTGrAFCmMLybwP/k+7FhgtzA10cAzZK+9PKa/gxCoBL2ykXO
ILck8FFlWSrVYpcqzWFiRFLL8oUBIY5gAGV+SsyQgWQ4Exx/35W0P8BJ/F2kCBoOLSQrj9lk9tnZ
1fRSEtWWK1ciQ9qfLAqURax5fn6R2W76nW3zvQxFjamqQjcobd/hK9/NinClCAtjkHI1OM8SeXz7
MDCGRRgH4u3nV/pRwfv9lT4ZXwu/GFWIqwobvmNo0C7Z6mqadgValPYxKqzfB5j/6IL94bfH0wSI
g2YQR8jHhaKG2t9hOx+cOuWxafdV8JKnL//+E1EtUyxzGd347EvyLXsQ7liGp87wiPtuWVemIfuI
ACUYfV9z/PnlfvCJ2IvStJCyyFTvczLR7BDRRtFEpwhYVqRDVJ6jCH/xmT7ak9/bkg8X+WTjrX2l
MS2fi8RM0xp5Gbvh8v/vY8wf87s7rmsmRiBg4U84YlhTeUnxha3ALy4yr4s/3dYfPsanX79MxqTs
sjo6DQrrHJN1w8mISPOyH0yGe2Qvt/UvrvijXwdn1swnQr0M5ubjx0oiB7o94e0nu7omvgop1c7+
l9lU88NqAKK3WMlzH5B18vEavqkrltPJGNpduMoswjALj7zkn/8+P/rqdMyYXErVbe1zpAMsLtuO
IgKpZPmQW5chnWLMy8D1z3G7N7DK9P71z68431Off6zvr/jpx8IaDkpCHXGgDZiM6zudAurnV1A/
/jqmAD6k2gYoEAbihIt+dt2DWoUSP6jZKb6Uu2bH4XkoPHNlXoc3podqck1q9/rn1/x4yd+fpO8/
1af3Hd7CbAB8Hp86C+84s0fN5aVQbH9+lR9/dwz6BScn4o5PtwRqRctuMMifwIx5GmYjp/nFdzd/
+59/HZyh3G1Eo9lwRz/edGWtRfgvlfhk0/qSkkG1+RgZhBbH8S8+y4++se+vpH+8Eh1xIRlpxifV
fA2da9M/V9MvXm8/voSJLcGFRUV2w8dLRGrSOcYUJKc8vzJZoQ0ElWqt9Yuj7kePEDfbn1f59NMn
siMjkqzVU5S8IBX1dWUljbWJdiFpTkqySc1f/EZ/+1gavC2b0Ig56Fc1jE8mcM31ERbabN6bblPJ
x95aVdPNv7zRPl2CWdr3r21CWPhCwyo99RM0OwWNNUKO/5dLzG5iQcHDnO3jJeJhID+VTutUpy/K
tGNJ8IsL/O1W5jOwfTN5Thi8YZn/eAFenXav5iznqfOyFktwvIvYMufu6/sH+W95OqOBfzKVhbrC
8/h7psvu2//9P78biua/9MdE9j2BxaEsY4EmGL7yR39OZNXfwMfBjtM44+bB618TWZXYFhtUCsow
c+aM/DmQfc9m0aHJ6KTWzT4j9d8MZWd93HevOhanhqGihHVVVePfpTnax/ujKiqcaGEcnqqWycWW
1FHUBqZ9pRKgwZoneA9BSX5PRGnLSbh4p+eoFCQMDczU9wiV3prjVHqn3hIaovtP8JViELp9nip7
PnTtX6gMx9RVAL0CCXSSI1LGPxvOCXKtNvBOmswpjbyUxHaAS5iLdXzno4WvlV0H8Ex4ny16ghiB
Vri1sXxWSGHMGdAKt2xbBRIJeJ7VYESqPpVXAa5USkUd8f8qcHCmonux8B03rfJqRijn/rv1f7fF
cT/+863/lZu+/ZEG0+Sv/XnzO7jYNI07GPAAQEJeP3/c/DwX5hzjzs7edQSZDn/e/LqBbgDrG4WL
i53uA2dB/w1TBQ2ijRpBff+jf7OS+Hzzu7wRCXZ3QJrABzbmQ+27unwQStBJmbfHaUy8iiUqapUF
Ve0v3sGkTf79Qqbm8KhxAPOcfY6BU9Omq6zYKHHomO5tElaKxUAZoN4WmhEoPf0dq0fS7XRGtkO8
jgV1D4Bj8FAWMel9M5NPtbOSDvId1McyWn+H91nvIL/uHerXvQP+er/qunWswm3ujC4CfKikRJWl
tbqKyrLQVkWftp1H3rKP6ar28/soGd3VTECHi5C/mKnRH21cgFdGK8rUg92VjuvCZ+aZdi3qyRoz
rh31hX4lOtVMLrs0vpIN8cxZSSpH6J6QfbwyFvmWYw7wa/HFJvAi7/WNqVgF+n0+BdwdqK7+2s2w
XWc7fxyrpZ5k0cx9XaZj9RY64c1UGkdVK99avTunKtFFiOPjBztBiuWiiTwodilR/pnWRRq5MIqz
lN5aI5JNUfQ3gw3J1vBDcWSQU67IQK8WeOPMldY7B71xjwzY+uWkAdQL8DBtmty+HVXlPtUYwhVx
iGipaQLN5i0C+pEFZ7aCJR+tHGP+V6DKUhNL3koDXQMjyDy8qYNOWbW2KlfuIIZ7A9463yKxwIs6
aeXSUOS4jM3pprIaBw+9qv6iU9Y+VsW8yDkugIVQs1IWgQ35VKxUo4SySHrEESPAU4/j6zydAdIt
KkCx+dYn1XwZrLKNvZIrnBQXxlpfoRv0fjVceS8ovqudZ3AOTBtm4+ZsOcVX8PGZAqzZt8xjiyMW
qws4nIOXBAwmy97QFo6duKuq85EWsmNA1eaIQ2BLzgd+IyupMjJoxqPrC7TK2vTYDIW7rhnGrpum
XDOKf7RNnzBHn4wrfxruqrQEEigZfds1gtihh0vISYMvKhxWo+5uqHwI9J4w85C5ygB0O2GxHjVt
Y8wjv6oBlxi5kN+zfBsPeHt0A3ueYMHdB5eaT8YWR5XKiJIBRxajU+6qYz8QXlMFM1tbD24Ddleq
nh2wuAmcf+VGQHokEKQy1q2Iz9+9Xk+/f4ffU4E/vkTAHrEznet33pf4eJFcffxm3Unr3TLz5VF0
xHHyIkA0LvFYAClcmUVkLIwqePr5Jee65bvy4O/X/PRrKkNnyy4Jambu+oPp43aB1A7a394aGf1k
BSEwsKgT7KryzLRGA2zkI2xKUAWOYl4yI74XEcc1utw3PyHZHEmgVkDA8KcXM6gesz6qluiTyt8R
Uf+Vo/Nz/c9nMhL1nIjCvxek81/740xGIsBEQMw9EyoAAFp/ncma/psFFUk3506O++uvPEAGcHTC
HL3Y1QnG+rMc1d3f+P8F5CNKW3jD/y7aiqrgww0316OoEwj40Fz+ZwY0fbzJlRwyVlXV2SlXS8M4
1O/70rGNBMtTCjo2qcPQdc4itcsXxOuPUwGXBE78Gb8eMnj7eez6cFW2ATtlFMIlbDkQfOmyNeyj
aNTKU2LgwgXqF+zAbsfqaQzXWmm1LFWAqik+lD5aWV4bxVUNEk+xAMaZbv/NKJViFWIYbF0EeYCT
9oNBXq0OVEkpq5MUhbksQh2sJGKpZePzZ/YovykFUgTZyucuatZTlowbphrPyoDRu2/UhT0EW9tu
UHYlsIWTkFClqn8A53Oboiry4kQ962ZzHziokDH9ORu8gNZVwNhgxTCwwSibSCy5wZNtTyA1TQId
HOIWIuJQCwN5WzhpZ6Ha1SJso2s0CReZMF+NBrCGZMkESMSAk+pJRfEGR9tLt+GfdreZkPetHu2K
obWWbLvvi9q6d+NnvUdEbegvteu+SK2+klN0ZxbDS2I4JCDpOK7wWZ4IPkKEbvbbLARIEzc4Xiel
DVAyRec60o9tqRwnDBVeLBhFjBqhfsA3sl2s8qIwVWR6vTBO8+55X6EsWphKaJPwo+7j0Ao2sdJa
6ypIDyHGXNSCwy3yyQu4gQCP7QZcILZBlvpX5Ug+0JhUhO2WubYZm37joNleypmZX46ps0nsUC5j
kXUrq/OHldlqgsUOf2oT3ySD/qvv2Os0ak+WaK8EjBVPUdxqI43cGxhZL4IkAWCPgwZcDXqKfiLZ
XshdplDQSU3xNzxovtcX3R7E1xEtg8Y/iTdWkTdWZ55IY9kFMTkIlhZvjLhAEYdoTB3wB0/WbYMh
UWTBV9ISX6kpFUI2tALRJ7KwroJ97LTTPcbWEjB+ecEo5E5pme+mdX+ruKx1+KuUQ6lSrfQuOY+K
Nq5YhGDVUYu3rFYyLyrKA4j5q8RAC9KMA4dz0UMA6vrV4ABYADYU8KxIh61YxJI3cbd9A08g0eXw
1PhQlURdopOXNW1YEt+1yRLQy63eYN9zyKRZ8awtDbSFntPYDXoQxChmL8vtoGq+pxdiP5b9wcDz
usziSF/SGl6TYh2uxryalraWHaMcAyMqBsANus7BE0zz6vspGSpyGnVxNvQLZXxLRJWBtpEgrOsV
3vZ4GbLRdoziKwmmbwyPcNHYxpucxINbu5eiT4/lOOLCUO0FBvdwZWE8XYwZNue2fkoBZ0Ie2oH2
vTBadzbID5xwAy4HBwW/dMY3rZaPgdLu+6K5TkvlgE0VyV5O6F4yHHQXv4sqAOWY+azKaBPyMt2w
AyrZvJUKGLd06LVlOthPEUMrm1c0jh6FkM1iqGDBOtZF0474XhE0YeXCvKXi7rVGCVcxtV4aUlvp
DbQIs7SzrxU5IHBq23U4dRd4YjtEn8GNFQ5PJGkEi9LgwG2qmjy6AFNBbVRbiwl6RbyP14TDuYGY
4Q1xvkqHsF9WSaSt8tyUPHQFj4RjHVJJ+lAx+Mci1fGFtP7g2Upw9n0DWY97hp+91QeAWlZOAF47
pkAOymMQqNUa42V6L3uEv37fXSoIyxFRzw+2Gd/B0UOr1fVQRtze8AItfB5yevTWAB7U5xe80G9G
o+i2FdNk8N3tdWkQChrNy2KTcNWQ2BFWqDpBnRZ7FCe/CH18/CQUXkLzvo6oQBYaRaAPehfNmFRX
yI75u113Ni14twTtPeOiwmdbSnQmuRZ6VlwpHtOJN9dQOS9CGW0cF0beWDxbOs92ldrAGzJM1yku
VigMU34UxJUuZFHdq07me42DUzwbQQDopJkvQogvy4J3tlnmAuyZaNZs8p9bl5CKkhup9xF2NgFV
Oj/5guNOer2uJ4tmEMEaGAzfKS70HfazrRsYZJ2HOOT0goqvNbpbFv/XPWei18ROwReDe9q0TVgN
ysjtRpGNVoj/z0m76LJUpn6ZGPGBuPRizidFMC36fqEk1q1JZrtk3WwW5ikOytcBPwpiufieyQuu
OAnZxGrzS5ra6mib04Hzf1jAftvS6+8aQnU9Y9TaVcKI5b5K43RXT9UtirNqmeb6nTIaV+Qpf+ur
FK1xfMthL/YgQ+BkOe6ujoIrsm2+uFOy1RWkA3aIxDid7W+j0W/Z+zAHQkJedETv9HLmCtr2SzQU
OMRJf/UqgH7rsXBuVD+rVqYZIpedhnxVllnEs9L6OyHHJ0vhZmhgvMNXdr4MuZ0sHF+5iILgScY2
cF06iSEuN0VFWkhulyeoX+oCRXCwUlTzpaQrWCNUfDAEMIi4sk6itb4WhrXxy3TYToH+FguGTHpH
nIimyXDlDHm4tux0jqqpk4VgAbxiRUayYjS6i2pSH6y6O+J3jFb0t9lCKry1w1EPlrE99p6lxE8i
1w5JRDxME/mwyLsSUHTKV91I2LsGbgSdnEpyhrcxphkvcrAjiAavT6XNjCv82yvLdVA5IEOvnECu
MRsK7N5dt4TFgomQWfaoWHcgrlViMX3TyyrlSyj7W+li+ssj12NCcIm4ErdPy2olqItqibbi3Fg2
gbRps2sD0noz4d4aeYuGvHc9DGY9eDOlhbDN86QTeTYESrrE9bdTqJx4IGOBAKJ+LiGiDRrnOd8W
R0i8rSxBcmIVvfaMA5XSerMEEWa6wyGQ4cFK3OTNnr1dWqq9dKPcu5zkMPHMl7qzN5VDb50H6gWk
sRyTKlvpwUrugiwjTniQmue0lgf3gRS0Z+EElxQGxgKMbbFQ2/iiNCXw8DaOj9CYCa2BvoGF6iFQ
8M5h7f6i4mRYlK1yY2cEL2lZsTPc/m6g5kJrOpXgwop8VQEd97DeIbRIKj4O0kjElhKwXWHsnarA
HQILJrHRK/HcvVkaedTcM8MqSPS16Nr7suPRDaV6nQa5RHioH3QrwvVu4gzBkXi2In4j01Z1ysuB
97TMD4MhcyhiIASd5gVSOEFuUXNXDYgos1bcMku9GMb0i2Yo2bKveaXa4rnrJm5+Im4WLlpPWPft
ZUnwdS4GZyFGOjdswgV3bfzqUhuHnQVLYMhfp0xeQC9HDyinnaYxLYphg9rxbdnhZKup8uyEVx9c
h5bZT0/IMrbGJeiyjRjkmxVS0tnF8KBn1HxdrAIoiu9bBJy+7y/DJH/yneQ5btorw6gusqhRlwHp
V36HAzrVqy1ipJshVFeDSXqHXxXnoSYExHB3rqksK1aADS6wkWXdYtRDYrrSVSS7SzkUuzYqZ3Fc
p13UsYp5P7C15DrNJ+t+LCLLOVYKQUfXqcm6koAOrG4mYsz31uu/HnQeX/5zD3omOoH+o/17Ezr/
vT+bUFYfBhoccgss5la0jX8OhmlC2YWRa0G8sc7ygz/6ow/V0Km7TLksQzjsLOZtxv/q1JGwv0PS
CI80xGz3t//NWgSXwt/6UIbLZEMKFhQW/ymf9iLYvuo2keADBynsdT6fQgZ1yGLicAptRsVgWCl6
RC+u+BBiLwDws3+I7GSXzudhhGTrwFp+Zt7qFToCy9iaQ1sf+8Qvv5HbzChuPp/D1CZXEHNm5JWu
ggsmU5XhVMusuari2HggB7lZqz6LPc/31RRYm58fk6B0vzlksuJmJnpLVWmAghAWuGNlt5Qi5gMy
YHnuNbJBmjq0d0mbk11jt0qyVs2x+Kq3olmEeq29FsSv35sizbeBWbtLtNb1U8fqHU2kE61s6QIQ
iXuJCawrrwleXRE922BbDspl16tGd4UYzeheijoIjb1KZQTfsCmSdqO+r1uMwJ053e8Lmcqvc3ll
h2W+sAN1CFFMwwtx3tc5U4Pjtj9SdVEJisAIOXiLtHdsGCZdSQCmieo+2lsKUCi01OQgx51WMZTt
XSA0/vBgQTl9GhXbLBa0DPkaX6p5MbbWeG76YnqaEQygDrRI7IOewV4UEE7vl13wzJ0UgdKdpie/
DqdXKxruKXzWeRBdKDaz5kwlEbs36VyUsufIdNSW4GjgVfsABfFlUgwg0RvIvAtUlgqcsj6I1nVG
ms+C+QQT+6S6M+wo3aWueqsnLLCA9qM8nv1ipiObrRXX1tkJS+LxlMa9LUVlHQcS+paZNluTtMak
yq1F9loT8fGs2Oj09BSBbTlkV7GjkhTTdMOmU5R6wJlTVc1y8KPyzVaKekdUZn5jqU69M8VkPQaT
aoM64+09+AnZglh6DrVSxQ+qbyOrmezxsk6m4mFqB2XPzUtEqT2jRQPp3ztT1t/mc3nRFkN0VqKh
PIVzYUKyLpaJnF4Ps2JtqKsOARWJdYNZLwPJDo6gUNPaap326lp45FL9wh56/Xq0JOpotnPqazkX
c1WE7t0t69mv5fzvnv2/d/G8B/jnd/GBqN6/v4fnv/PHe5gIMySQrMFMDZH2+wr6uwWdxSCQbZVq
MS6cGel/YSupNzTaNjDpbOK+D+qFn8LokJR7JtQqf+3fGXvdv72HHczDFt4jw4aBiv/44zywnpDI
tIw9joGeT5cVA/KSpsCh3lgqQ9BNEznnrdZBXrPCdOk03MgYXjKQvW0Uvwv8RXpw5vkhcu6Aa8C0
EKNiINdujRjZMxlR2GSm3kyHRd8gfL/rWwDOy4m3EMCDxFbcclcbcqYaAckcrtvYBmobKkWwtk0J
D3PI7zRBN4avasseyeEp6Boe/pmAGMkMzaJSr/1WfImp7GVukQ2WESE1ipt8hHmiqtRbJMuDCM/2
eeVfqv3wdSQ4YzHY2FJpaDZtucPKibo7KGmErRjIlt3A3Carm3UlSt7Wh97SDdNdZrsn5g9gBQMd
RAMtCEUcofWuXS77jE0i7Z42Q1iitrtvcJkAb4HDGQkTjf94IulyXPdWR+5M65Jo0VUNr4BpWCYN
am5iTqbVaCJKdoS2IniKlVbLSLV3um+KMexhDsO0xS/kZb76bRjKgrKqXhPJto1M6t9MTS9jRyu9
SMqvrQnbO66gqbWIhLqo01ZToZ8VbKyV3WprP/G9bJ6Y+NIvd2jZSEs1imOsFTdV1XuMvGgmoUAz
wFh0mEwZcq7GNn02mCstZMgIVseBlSbLNDQUr4OaZrDEkzNGjVNK570KWk2mRbJ2ZtyaojeHbAaw
JTOKDZrgRg2CuxajNGpNcG36DG5TrOA02CyuDHJF1aq56FqmjZWQd8FMfpsScz+CgmuCYWUNsOHi
Qd0meXwT5N1lZOrLZKbIWTNPzp/JcuXMmJMwvTwBdg5uDoOrSn8tZiKdOrPpTCB15kyrC8HW5Xpy
ixwOrkzF/Lq6UsIS08AMvjPeEXiw8OI0+9qT3M7ajdJEfxAzLc/Gttn16XlIzB38bIaUs7OEDSuM
vZm2N83cvbJk86rPLL6w7+9yNCvLGEzfAK5PBdtn1Akof0B+OUC/uDaZDGJsMpvnYSb+Qbzvwdgk
JUMkxh4OXEAdQKAf03EUMzOwGINdMFMEK3CCLVhBfDGP1cwZhJ4XgzeDPRh3hgogs73tZi6hOhMK
C1CFilJcCNt9yt8ZhjPNUANriBp1Hc2YQ3CHzDVOvYB/MgBCNGYiohMKYOqDcqQmOUR2qXg6+MQh
SnHJwTbJAStmwTRsE1CLbUfXp4TQF/OZw6jPRMYGNGM8MxrHOVkvnbmNrhiB84NyDARMR3Ah66yH
8uhr8B7nuHJYZv06rccrFSSknNmQBZBIvOu37MjCC2JMacvV4TWJ3JvYYJhg6aXPtBnaZD2Nbz0b
vUU3kyj9QDM8dI+46+s5GG0mVgLMPZP/w60j9BlvS/talBFNzViYMFbCLQHIT1YICrOx8nw1WC7+
4eqgAspM8CotoYsyqpqB6ybkdXJH3iQkdvgfW2LGH/J3RDusdnuGtpfM2QUgOLDrCjOX1sKYoxm7
oKEBm2bsu6rFBxUO/MjeZYQLT/Yklg9/n6XxLmyqsx9Wb80MkicG4XKELG8p5ZdyRs3rrPkXYsbP
u7wXeTfi/Ohg09sFkPoYWn0+Y+vtHoB9WrMImZH2/Qy3j7r+qzvj7ttC4ZmeEfh5lDwMOlD8ATp+
MmPyM0cvPHfQSC6Aoa/1r70EqW/PcP18NPahlT0MI9+o6uJnYYNPrF3xlSHQPLxQvmoG+sugMXE2
2dhFdEwzdfHiasYjsoi3TuVmwE7+pZT8YD0yj6WZNiB8grxaV5l9Yga8CmATM4nuFRImuyPesBs+
KlbS8GrKDKSQxhxK1CnaYiIwwkaAs2RKuGuLBMOa7ww7ozfPWunfhzZJZjKNXjOYTguSp3HeI0Dc
1kl3q+ekjqHBnzCtyQ7j0X8d6+/W6p92rFRJzat8/cHadN6B/lEpaQLpEaGeOprguVCiiPqjUoI0
N/eKtrAsyxTUPX9VStZvLDKRK9mc/t+p+HTzN5sAWDTnM/zkfdn6L3RM9iwi/G5PP6s/UK7TETu6
jiIWeeDHMikrU4NRI5DHTJ+6dSl81AzCfrChshV2e6c11m0yXftjt4Eov9Iq57ptgls/nUBazswL
dgWs4ccDcIVAedH75DYDxbNUdUnMuMyfrQZH9NgHkIDirQjYhXG0YNaWvhd2oNc0oT4qeVc+q00O
jdpP+xWvOZ/QlJhsBGlt/UBe5D1WkVgP7zL8c9CWHiY8dmnpMPwGjTTGybUb6k/SUu+HbtQ8qxnm
7UoBCjaBV1DF+7ZlWWVmRXc3CucxAte/h0Dlr9TeRN9XxrdJmz6K0Z52RoZRsiYt0HKm7VRpj12d
HV3ma6Nln125SSaxqlxyyMy4v23D6MGJlG0virtaKsGFrZVLlzF9lndHNSYAMR0h2UXHmeqB0GaO
ygm/FXAbqB7J0bD6ozsDLFiU7Yxijft8EY4YNLVzUB0kPtQmeagQFi34T9zU9USHo3bL1MA92JiS
HPBYwyFn+IvCrOttBwCPtYmOG0y5tLKiJ4OeQagftau+iG9okC7h801rwwqpa9J0WxXpN4l/a9lo
NWAOKTYSJKgHO/w0Oi5sW44nwUhtE+Y4USPM2mnO9VIMlGYAt8mWz2IaEV8JrA/MXQucZ4Plu3MQ
yyUeuau0dI8Z8C4rNqlUx/iyDyDPklLHUoBgIgNfaypIMslnNEaAV9WzesboaWKg07Tr2ouiho2j
zcBwjMiSbzJCLBr7iZHbjjyaZt3WbBgFnT3u/evetmrPVvGsVPrLqMWVZ1TxTa5SM4f8ckqp35pI
0KoslSvUMs5lpajMXIoD0/pHErm/hjVj5srpl9AU/eVkWRyXcRvDbqUwSeJm141NseyI520jpCsT
kEYvCrNrvzZ0L+mGbaY2xVrScCxgovSLpNjpWhTDccdenBV7SK1XhgwB5IiNqaYYbKmnyg5v/Jjq
53jKH8ku3jdqfygmOhNs+BegdC8F82MtI5k1FeXO6ZznuA52bhgQOKSlC8uBP19HZ8bNtzjDdiIv
LlqS5QrL2iUiuAJA8pjX6S0qKb7UCSyhLvd6WxzaLmkYMgzXKShcOn948ezsp35busVOnTX4o4FE
NrwIDFEipNX3JTmWfS1OgrHMup0kNUdz37N/YfczUVY1V2ULe3mc7AvpajdmVO6TqNsaychuJs3a
HaOXK0PIQ1Da+IY7mAKMsKAUnOuivuNI3PtDfGhDYxkG400uUqA5PPRJymakj+6CxN6YQbHNrMjZ
ET+zYRcITNJuDnruzthe/drA5kyXeZ0pHVweUXlhK3edK+7FQK6eI9J06WrtTR+al62EFE5Wa8j6
J7tHLry1UTeWIwi8YaI5c/KDnlqPk4MaTOlXcHdZ6XcPuWy3tSnepjqA68zmc4LfEtEE09pNiFBu
NGQ2Xur0qbZ2CpN336CzbzYyUoWtdO8GcPndZDc0bbNQVHcfhuGV0aV7PxjBqBfBoffJQ4rcfNZ9
EM4n06Mi3E1VuEdJwioAmGGdVQJNpql+jdT2ckDwqSfKUfXjM1seawlv67lUB57GgNV9v1cD5W4Q
3RXRDUeREJ1i2TNfsX/S4Hd7URngI0cOUDX8FlI113kbROxHssdS1w+jS/vbRBJibryBxNgva0v9
ijn8oqq7RRiSkVQr16wcYc8ZX+wAyHA0PcepfZ7MJrjMzarcicC/KbP8oOTCZxYPD30yH9XS2tia
vzB0OETQKI1VLwdtm9DSalrwmlAhssebt/3MllAII5xUS3MtIn1jV4gsuSlKGFo41q1AbOusva/7
6FzR6o9t8MWX9RaFAJ1f73zN+2jDZ/4SjOldU4XdbjBOCdDFWLD3jmfIdjZsTKO46pvgf9g7k+W2
sbTbvsp9AWQcAAfdlARbiaSoXpogJFlC3/d4+rvgLFfKTpcz/I9zVhVOiRQJ4HzN3mvfhmKqXdvs
tgo5l82ECKQ2z1Oioutw+GjUk8IehS3HeO5a7SZOcnsl1Kx07Qq6eaf250I3D3XCeb9Kaqjuq7Yv
w3uDDQUPf/B0WgbGIWXDug5Kc5GWcCpCu+PuZEYBkGTBbKuCe1psKRg3lp85V9CcbFgKXbaalJBI
2o49kd+x8+za9LVDrSFNMMycMOAqIKe5hZYsB7AZRB1sPRCA7pA0HDGd0+2jZEjBQI0fWcVgj7t4
EY+ki+pRpTKBHuyVkSQPXe5rdOxmhaccjJAa1JaySCOTgMvUv+zVpjhlpdo8RqrFYh52skL6QG+c
6z6bMGFPYEj6RJIP15Hdsyr6idmzqlxCOtkjiLzS7Hgth2hladN9WnrXfsmMuNSgtCAV0BK7XWVq
+eix8J+tzqtKrZEwxMOmlQCT9KZ57aJ2qcb2k/T0Q9eD3QCHRJDzukHhyeb+Fs/96NpW8MKT9V7o
1RZOzEkYw7sX6RdkKxnkceDKDqn6a0V/BHh/YYXpgTh6nQo5JccDu3eBV73liMY/ACrgK/bWADuf
XzfsMBaQjnaFb14aQ7hVqwlBT7FLHTI0cxG7TPIJ+on0s9OnNyhRCRkfieTNstuMHFRGE/EFTedO
COWAamBJKbTRhnLXeM5GiYOdb5UXftEQxKFfJJm6r3ROWt0m87t4ozEGgOqfB49KYQQdMHnBqqIb
NsrmPQ2cSyXLljUX3UCmOyqUN1MXhIQ72S4X4XWlRSskIEtHMt/SU1KoBnFTxyzrG6TPSwLsWY8C
4wXz5nUA4Lxo1qDU6yZSt2mrPeIGQ1qiDmtDAcECxYnSAh1sRgDJmMSPid4uCXLyWbprKyfGnNH6
CdHC0b3jIGmypyuWaihjG/V27NW1HhUPOXNAOmcthIoSfvGqvENW0rerJtCPvSGOnq8/D6IxVziP
VtKzNpET7pxQOGv2zxddPL0Xo3FsCpW/uAd3YmpcLH7eG0yWmHAFY6GuvNG0T7ma7zPJPAFEsRs0
4pxI5TJphjloS1/XCGIWnhFAoGNcvg1G88noAbM4PGmw2Q+XA0hxV+nzh8GYzoViPmla5BH/UT4K
iAcLYbbrmCE7nnj+attTt8786GGJvuhyJ9j6VQKxv4gPBcrC2Femk6JVFwURC65m1gOb2ZROcWDz
PJYwu/h/YwwYuStvfIblm2RKd8wMIAA3LQrZ+dQ25OOgcqNF7KbdagB1UY6I3uPwCEdtKSMZ7Kxg
qi8L8AnABPUHliD+vq+8s1MnTyBx5Ha+3Ymux6yacZpjw9Of7ADCXCHPzBHDS4e9uK0WO78Qt2BF
F1NuCHYULYMMtHxpfFn6YgOCGL6nkX4QNZPwLNdoZu3buMn3IR1+zDiwS/phVWvN46iW1wBDQUAX
1jFS/WMKni+x5HiRDdF9mThPctCvEannF4bOuqj1zXytNfJpStna1uQHofpjBtPxi5VSXedsriG1
EbsSJXDWanBMJB7KVOg3qK402oiqYlprJ6PUGMXpprLS1NADKP1pLv4TcTWN3acGahY6Awhn+a5y
xkPB+urg+GQFYTEkEPVl4SkqcMdlh5p0Hkfe/PpFfjDj/edF8G6YyDRnO+b3XVrsDRValzo8iXGn
ZAeB+kSRt01/++uXoRP9+99iYTeTAjMAm9LvX8Zjh0oXICjctY8+v1P0f6A0/OT3M/lXAajP9kvj
x8+qdkaSlcw0OWU9F9rW9l5++/2TiqvxCfFBzfCx79+/b80DWqNMTzZ9h3FlOJe//v0skH/5+fzQ
LEszVhnf8/nIdIMUMoZ2aLmSefs7gOnffilcT+bswTQwKzs/fBWJzbywn/L4JKItyIxGLAoGqXLJ
MawU/2Az+rs/ADvTp69lvsQ/XcJCDdPOAit8KvQl8zeDvquBmU34xvr3/6jPL/TDH5VZkQNp4s8X
YiqeoaEK1pwj81Fc/MO19pP7ElIcqA7Q+yyqtB8sWjok9ZyDNzvV+tpLXjp0ut7br/+cn13On17i
x8ttQjWd+4bITpn9EnlPUvk/XM5oFcDmOnjKja+zm0/fS1SiMpGKlp0inoAMcJPx//DwYkMmTLT5
3Dam9oNYgUwh6ntTzU+T9dJbx3be+DT/8Oz6yU3DTYmOEEiCgbacGdfnq4ug1yIbWQKfgBCBQ5s3
Lsa5wy/Dqkz/hyv5J69lC/4MTbVIy2L+9P1rBfiC0NUb2SmYe+pVOPPYVojYc2qs669f/r+L4flO
+d+L4avk5e29+slqmJ/6NPCECimN/ww1Bbf5p4EnTzRyBE1OGQ6AvyQ6+EEg3ujzLhmcBqcpP/UJ
JYnZUuKABOXyNZDjN2aeuE6+e4wz8yQge8bcWBhFtBnd8f1V0o19Jxtp9adm6KiWmvgh78ZrK+9I
GXX8U6qW0RuJzxmCbv2WXUG07HTFu6Gk/FACsWYsK5n0A5b3iTOC70p7ZtGHhZX3WvnQ5IbEgq7c
ZtfSIRNQkO666TvvQF525gaF9YpD4sbspoeAe4+Wh/2EVqA/zIN0G1vFXi/qlN84Lz6cbD0l2g2v
5fYNUlEscgga21GFksZgypvMQxMjpzRhtWK3+BLV9kFS5Qk5nAK/3uYW22f4a2ctEGJNcjmrRdnN
Osp8NQOOFpY24L9M4iXro8U0lUu9bKMd9h9kvIW6JZotXTtNXoO3auxVSyjHSo8huLPsJEkudbZe
IW9xf6BqctxW11ctm7UFzNyQgORxN6mRXDZZgOdBTPeG8wVesltpw6Gu073VNY+tmNAvRTAYpU4M
aTt6TLQ6TGDGML53It91qrW2dBIAHRHc+yrLpDnCKoHcD0+aEzGctpFmQai0cE36ZOpV97livDLw
vbDymI5qck1IiWWt7lovPmsjwznfMK9tPiEvJH9ayYlbTZJjJZ1rMxSv8TCJBawilYizGU5v9Xep
Jp8iSgqtQARNI44brVWRnAzWBbzcW5LCiRiaxH3YRcmiz4g81r07AhKOzOQu/Cp2FnWSEK4ePA+d
clvoDG2C4bpxzLUwlcdWid7Yw8LPJA92WRVQiKd5rKDV5YeF40C0GOtL6Rz4mi77yKJdQAQgPxiH
rDyNP6dvp3UxK440SQY6c3PE6iSf+NZmiixjUWX5s56ZKClrchfG4UW2PdeXyjgw9TOGFk1+qXYJ
+X/Tg1PpKdBgYH6JuUcDtc3N5kunSGAsgX5r1P7GD7HmTF6JWKBHnMzU07UchxwpZYxcJQBbOer2
rBuI76OGD2nKwPoaAfZomWrXjVmssCLC90srZ4W1AwsKPLOj1ub3Q/2UlDude+4pRUWez+nIgU+3
PTWSZegYnMe+cnZePMe7WfWwkR2jFNFiBWhLNWKHHzAAUIoPJvONw6CibLKzF3iExTQobKe7Dq8j
/gryoWrIf5gKbzJPZ7RMC3gf4qNZSbW9gfUzLbxRQo2Uhuv0jNtthKtW5mzQB9SuglXdBTeW7Gmi
rNkfPM849Ke8M8gWmLjdkoBLmgxxcxEQ8oX7gFTKMHV92xlu7AKhf87IbwimLwgJFkBXbTckJ0b0
rdvGKZivgb1ERkQbaQo+DZJ1HKREMRyCjbMfQiNbB7bh4U1jKNo0O2TcM/oTZ0h+heVoXXSE00xK
zbCZmb7SNXsZZP4xiYe7WJo3fLrqBgPCsY6qq6Fs7xz8OZWOM8n3+tfalPd5rj+mwsIiCiowmsMC
SwI65wHsPe5YxvhTGiyZMx17r3MW2LN7UJAJ/hiQ8BDaWMxDCSkb44k+mVCKEpyLHn+MCPyLyLov
yhB3iHytanB2IrVOZuPszTYXeFCJJdHLniFE4ytL4amvYoiubS275Msr2fWTltnE1h2C9J47RCeD
p7eDFV22a06KdB3DgfRAkEXecDON3HrWxN8ZaDss1t0iDJprRCe7VlP3GNsuvLa5BB4MUA/3F4ky
yJaJ+3FImEwxS1h25MpUnVZe3Lwrc9Bk7pTRusGIgbAGc7jnKCvcAuNWY0Yz+d6LMqaXQTzdKSP5
HeowvildGd2MxH8vq56heo2hIIXK61p++dbTRDDbFQQdptldaJMAWBRv4WShmtdEiuGg2iqZdgdd
NV16Bd9GYnlrgv0IZPJsHhv9DlO/53pmS7gip0PRsHPu5aJOE641xqG9wbrAV6p9JdSREQUacQaF
THNqr6mdZy2FiX74tyL6ugSeC/tfVURt+lL/vSKaf+pzRQQjm/Xq1/rlO+csemZ2wOR5Aav7SmX5
JpZDmQzHgi5QsraVX5XJ/62IQGDMCArHAGpBDhgL4t+piKy5Mf7Le09FxDJZ00zeBaJqgjV+aJxl
4GfwV0b1ZKBwiLdhh2+qtMv4QLDzUk712Q6mBw9thVY2yab3nQe84/UinW2nub9xvKRYhDxiqqYg
Fj6vziYJeI4UFy2BAmY67PSBHJx2a0TKU+77PPR5ivknNXL8Qx7WuJYM6gdLZXYS12zOzHH6kkgY
YEj4CA317CfQMUQ86Eqzln3zNOXpttcwv+hGdxX2jb4iHxXIgi4upg6lBWbkw6wE50ZO7jOlHaFl
i/ewqD/6SUMAzcg4b+MAt+Vwk9oDj7ABzv6oPFSTNBfDVLoRUbdwdZ1jZo7jhSJj1LDcR0MG5H7w
OBCofvkf9YfhtYAApvqt6lQXnKiG/imEUOBJzU0DQAGI095E/GiMV0FtTotacCb0FYc0tEDPaiqX
R+gol0YMbZVNqK4z1sKwzOIB3MSLGkqvW4VDxVwy6wKEKlm8Rdo4Z64qmIXkUKyEB22M2c08aLOT
tRjHmMVjV6lLE1cD4r++ObNhVfnDkurc5XqEMBA4Hc8VPqrZKVtX+AmDMsKLkqELS0vzMZ8qjdIi
JgOskmQX5jV5BfMROzgEcXiOZ7BU6ccz1yb5320k3KjvlkFu5nuHieWC8zU8eIaI3N5p630AWnQz
wCMhnCDBulSCCUI+pXsbNW4/NCe3N2WArbAkWmurmspr1/D1IbWfA0Mx+qolVpKQxfxWCvMdtTdZ
v2Xfr1gj4hl25C4ReItyI0qubN2PV2qdQe9RRngh5KBsEA+DaO1qY4MC9D0dEHEjpAMmVCnJFQ5o
f88nx/Hh9dmLnbMU1MZQbD0Bu60WaIcyDWumrjZx5aoWZrAUYNFrMQKXzInEwHZZkxFiK9VFb+U9
SvG22jgBogXgyPqmQAO54svDOV4bH0jJIC6MAaBgqW9mTSkhllPK2t4pqKNsW76KlEKF0hvfY4rk
i2BcvH6YCFYUSyrOaI9MsShDs8g95++rSBOkfhGnvgpgCIvVoNvDGs1pFX0QLD5ubRhO55yCz0Uf
Vl9gMResgKkoKjHcJuSEsYUnmCsjUBzFQnlPaIq/FJPXLAitzVc1KA6jq58Uv3xI8ozyyHb6VZBO
wPDTPGcIjTPJGqN7NcuvorIOn0eHtZYW+AHLOBu9X8HIemrPmF2JnzEBNgHkL3dOa74HSffcCm/d
+zYxL47y0UfNLF8Mn3Ql2qN0eBxMvEEorQjYS6v5IeIc+Ch2bex85NynSst10aT2LbaQq1IN9oVq
WIusIuFQyDfNdB66RBlctRqw/FT2zq6qbT7VN/Xk3JWBSfhhQz1TthXqcxL9Qi8cN7rGlDjKKHZs
yLe9X+PfDa59gX7V8sleaXEYXaCLfyFBHcRjpm3DPNjHlney9f6gDHrpAhGxuVNQq8EloKQJE+jN
bKlfIzvLns24iba+DmTHku0ccObIvQkpcyHNvEYemb6SecgzS7QZM/ryKu+VG7OuZ7FbHO591pCL
IfeLVTz2Nm+Jim9UIGJTXJrACXr/nDIhXdTcLmdSEPXFJDBNsTiItk1hBCuyBZ0NLuzwOvGrwrU1
Vrk8YdpNHZk0RMbgbAqpkk4c0bghbE54wlgj0Wjkt3sY8VlxpXLlTBHqxcr4qEd/wik67djZngRb
/FSPLo12SFd6L7SNTiDbSheFt46JGlgHliGIuvNgf4s832rmYLhRQeUeJBMLpVDbaPqc5hPxboOU
u1br8cXiCyVXJEjmdBCeUoIAn02f8ZcaVWdscYD6JCGq5kaJ8GhEKU1t6RP2k6UIGHlMtX/Omf4d
/sxa/f9d6jy1r4wwf2TWzT/z30JHnY1WEosHWR0o/Rm9fBr9QJ9h/mbppIyYlvaX1s2B9eUwIkSn
z39izYGmf41+Zm0aKw/xZ6XzW9GppI/8WOigp6MGY6YKQQwXGW/98zAyaapGEFYnTk2UP3pOxiEW
68DmlBaVPuuuMwohUkgz6RznjJx1TtbdsqnlvsoNOu0Ms30oHeOymsnj0o6RvvQmKmmkofZQHCqU
I0Un6NfsN7WjWtfSfqub5AJOlOwOpTtiJuEWob9pa0YdmYOW3erlXU/BL8Mgu4XFxBqVZsDsbRIX
i7tKBfEuUx0gF41DMncQ+dxLcPhth7m7QDcVZGfm4FDaJfgL3bzwzN5ZNb1ACN8rHj1rBbc/Ka9G
r3mxWv/NS+1+rY2ZWPljUe5spsCLMleuSQ5MEFihBkjNwMFIyRPPGy3L9UKM8iwucUJ51DHYSFeV
o3+pQ5NA5vJoNxzmRRA/hpp+2+RO4SqR9l7ExrDCX3BXoV0Iy3rXmhx1KdnU8Fe/CEEwN0EdW8K7
zpnAT2RqBEr7F9Hk3KoRgCZjmgkomrgtrIjhFF9CQ+TRkmcHQoHGeBnbeljWVv2IEwyqUhFCZkLO
10txZSdSdQMvPIfEmC2UtLf7/TgKVHwZyR1VsRdmdrSn8KIbc3+nRzXicoeUF3yfi6nCA8w6ZBGZ
ibKwisS1IDQgm1Daki9MY7bnNEkdb+28QqmT1fbJ0YpxgzZOW5BtvkMO4hBfWL1rZScWHIX+WaFz
W0yhQZPWxcdy1D6S3BjNBT5B4RK46ByJ9OZxlc0Swdjw3cYgSC1LmI/4cX4KCM5aisQ+kc/aLDkp
QEuM8DhiSb47q+220o5YoTIs3hP8sZClrNoiklYNZRMNeJuxmT+bRXCP7KVdVqQ3oCrMoJiBSK99
Ptwkm5Ne6uneImlF9fJXTCObFrnoHtDGWbWLD8kgvQ2QYZSDvcxgmC1FU+k7k5FNYab7gUQN6eun
UY1PUm+HpZPgfBZ59CB6785IlXrLoJJxvGLRJPgGb1u79AqtBn7VEhJXImNvhbhOx2Yv0OuUcXQd
hv7KbJOnXlSvhlPlqD7UmsgD8m+quHXJbZ2hWxl0AT5cQyp7jjq5MQUjy9YZY+zd1qUo1TeIYLpb
N+NDoWvYL9ViXZApscgbyodx6HYx9dCyy8SxT/rXgM+aM7fwlpmJuiHXCJzLioPDCNS0kWjifVzY
mvfWiH5tVTNCJOnLJYabHDVmezEAjlmODgPVbDS+NL1x6EkHQvATXZYetvKwSONlDEgsCupnO+Ks
pP9X4+leVWqkQ+j5JolApXcO1Zy3yRt2/anrcRDEB7sc0FRM4rp29OexcQp4leQqh4My7JV4VHZ5
2mNqxxvaxeWNbJX3oIivbTMzlkUKhIIRq1fvPIvfMlWBsSWYZlV5ZetGOmHraYocX2Bpoj00l6Va
T4xGCStANCtAGSdopXzrFOXkCVAUJi7BOwBs/OFM9SlQT4g3m2nv8t+Rwp8jBXYO//ucvQ67d2Q7
X97/ftjOy4pvh60q/5Cs1DQ5UzBZEv911mLOMy0AmJKxAifuvIH55sAjy4uJFmmcqunI2Sb911mr
/4GhGm6kYHmuITv/rbPW+X4By26H64SRAhRaEzQY3Lnvj9pAy9DGtDrOtbwsC+tSgTICZ4CpQJ0K
FxFSfHJaTY8RJHqsNpCWTGsVF5TFAJA4OYJ1klOblwo90KDsDCPTDy0NnQsMIrtIPSe9YZbfn9pB
FpewzfK3xm/6PQdufCNVjMcyj9BDN4P17mmh3Oag/NZqVJHbY5Hy9cxCRDgMSDlPq75YsKrZxJoK
2jHJjNeuM9UPRQ+na602w5bIlAzCxQiiSNjOYirM0h00npu0t+iTAyu+StPWu9Xo6a/bQkmCGxEZ
0O+w4ajltJuKALpfRVkE9VG1Ml/jBVuBgpDHkVQBWlDI5+MLWTXduapUuxesLDXpsuDpxJFEmmiV
GmEZ3SnRZHBWd7FlwZIyYVf1lY5dxeggjWNn0XeyS5vVxLSHY6tZVGSc2E1RumpmgM3oKse46Aq9
evGi0KTRRyLFrF7UlP1lZ47IrDNd34xqHe1GhKKOm0/yelJBZuDDNfBoWdFbEyW0WSaZLgcjKpud
Xdphdz1hKV6PlZEBVgi4MPtD6iRjpmz+fSL8+USgHv7fT4SblzfiqKi8f+LKnSnz3x4JGEqooW2g
4GQr/Hnjf6q/bZOt7Ld/+VR/E9Wnz2SE+TblETBvZf+qvwUDSDAHyGnA9/3eMwGX79/rb5syn9Gl
IKyIp833DwU96jIm/0N/GoAdQIYKizUatGhVRB1c26FZk0RX0xEbsnvqo/SiqGlGTWFb7AdCoFCj
X7teZqvE+ZkreHEsssbMWpoiVC5EM70YnjYdCbp8782yJmMM82eReDd6q5iHrGPgM3Z6SaMMkJP2
ZRX5wX0T9KteZAQ7Ofae3Oy9rNSPeBjv+4AdpYxPZYIUVtW2TshK1omYyoSpXqATJWCddNfEHYQk
gddha8lO/D2yKOdN5TnulPe+m6OZPIr8oYf6QITtlzLFihIL5dhw/zOXyPCFkTW+6BzzdaY1scdA
TJ2wHGWFTMJ4C3UhSPOzZlIN5dSH1ggxpWybbuVXpAcf/HBHNtp1WZsI1r33aVbgZ1emilZbr+Jj
xppxGqKHtNQXHoVLkBm3nQHyUEQfoy8LN0y0s02EIK4NZkedX9/lSoN8ooUG1yZBsh4aHM6lw1Sj
goqQYnaD49LLbW2LaKlTuLIDb1la5nJapgR6L2sPfzQDidqVjb+NA8mkWNE3LZvOa3wPGs/OhLHR
yFpRDQE0GTlRclU5C2tzZogxfdh+AnaX1wOiQgRXm3aYQQRq6FZ6E6J1joxt61Hj3We+YvkHrZ7S
B9ylCj0LQWl8fN20HHQGyd0QMiM07I8aHeYQQJ1oKgTPX7cfzddNSEUu0xfMm5ZCkZU421Cq3tpA
5X6yREh/MWFn9umV1oXs80M6aeGdjai8IguSzs55jsMhZTxWhKdeRpqrFG1Fa2XfOlm/01PSpyqv
RcKpJttKVe+UlsEH8A99NcACo3EkJJXarFxYNTqfOnOA0/BZ6nV3GLAC3XIFWHisgCygBhquAIvV
K7vti1u/7F5rlD0XVqx1yI2D90JlTjfJUeAeUI+KnTO/E+hRwQqqLLmadlu1XrXVsCHclGaZEAlo
ZbexhuOhUMNg2cniNrcbt2lMNrwth4cfGluQGLNLXGEghmmEWMsRmbxDZi84v2WKw3llhJgMEBHZ
6zH0zH0zipfBK5Zl0N/bI72rnkHlZVoVub50mDcPUtnBQ+yf46jvMV+UnhvaTbbB9R2/xbpRbxM0
84uptPdxHwzbbkJ5UDXOJN1qwvtq0guce131LgPEpge7G481J9XCob5YWnnInZl21Zr0uQFjU1Yf
FHuCTqbSJNCQTqt/z6M/zyPquV+dR9n/c8N3/2fHET/47ThSzT+ErQrbICOWiZDKmfPtOKJEZX01
i/MMlk5fJ0XfSlT9DzZSIBs4KBDXMk766zjS/mAVBkgW5rpFTA2jp9/Ye9Gv/nAczeZKDXmgDjAR
9o+Y//2Twg4kVVAH2CMOSDEZAxtxSRG5bE0jhimV9oW2VLsJkPECC5SGdSYbp5sWCYvPTv1SB+jw
EgcZEPYSNl75HFmJql71ak14WtQxWVnUXeacUjrNva+3SbjDZKPdQtVQjJ1ai0pZOI7SnFJP9/bx
aIpmpcVxpN6ElpPIi8mfkvrNyXyzP1R6URnngnTbjnT1d/gKbLAyeDbLVqIE2oi5+nK+FmJNOTY7
mWjwNaeJjfQKKnb7PEmLIYlVBuJCax3voirLCOs6zspVADRmWZVVs2rFGF4A9yPq3JuKdhGRovjS
1nj3OX49NvyWxDIUZ0F7FWgMYMbsGbPDW2RiWULEmC4L03gvmvTddHLQdV1ayi/4ADFeMbEp/X6X
TcJYN7HSErvim4tOExzqfdyqRHP2zPERGT2oCrewE/fe2xDiw6n1TNsFMHovlVhDIKVWKH3KdqCo
LsqNRIK5rHhEAFEDIm/YrFCYZKPbQXDFl1u4YNOXdV97ID7SC7tlBgGN2jqMhjHtYklFEGrI56UT
bKAKwtXzIeLpox0t87qFN5TFbmE77wTCK2Bgp22iOied2nkzeuhflDqNkZJAAiA08FGSnejG/dQt
YHFvcnWGW0Laa4KqP8b60JD9ySPaSeZ0dvSSq0gptJOABnuj9IZ+nZlm9h4JWe3TMswe4BogHwlL
Eii76F/K9Z/5KTra5l8/tfb5S0kS4E86a37023MLyzaPAxVbNj30n5v3b88tKmzIY3Ri+Lm53AX9
87fnlv0HA2fuXl0gcaf6plX/VkYDt7Hhq379ZV9b9d94bOlfZazfreuhgDJkxzIudWi0P67rCdlL
h0GO1WlUaFRR2QBTQQCY2dHObIPsFErzQFcaHE2j2tBDGudyRIU2+eJa9+R1XLXv0Orhxg4Bnszu
IrDUdYcsjcHUUulwcWXqpZ2pDAgRpHRyeEX3dynIs1/obXpkHrH2mK3VgbLOR+VM8XFnjdmDwRVu
eyX3io2RENL2mMEPy92A8BZ2N/rOsIN7jIdLUC3nMU6OLd5hzJnHYS52HXO4xHO9MVhb96F/Z2Bz
U/iLVknVvzphc/DYTjJyfNZ9HoJNs888c93ozkUny6MXBEcnZ+k5MaYOimOLW0bP8VAP2oMlWRDh
fXQocRWGqZEaHckwXXUtxVY9uYHonpywvgqC9uD347JjFS0xIeH+PFYaSzbno8bOukpxJuEnbaEa
2i/wUOHpELURdTsF/Fln1FAbJvZPkZsW08IsqpuxBkPqDeHJNyyEndiKI/POqNPtNNbXqd28ZtpA
nZYdGQ5cdma6NaZ2n1bjti3hz/qQuKICigsWU8/Z6b68tgKrgI5fbBsrY52Y9Ie4xZunjuVF6cUv
ei6vncJcBqE3AkS1Tq3SXPpa6k5+t6tIZMXIdx05w04V3r1Mxzvf0VcmQQULyL4Indh3Bp4ol1Za
HkI7Ie67L3EHj2wvIB++WB0m6qIcNnZhUBIPxYOm8bRN++EVTJfjL6qKQ3BVj07PmVPbVbRlABPs
mryqopOcpgEPP15FfUOkYbh21J5vf67r5wI/L4GrK3ZxHedNsc8IRV7Wc0OgJqp+wHXVud0ISzkZ
4KpwImou04foWlM1hjbQv/CabqOM6TDYY5KC5yYk06Zpqc6NCbuEctXMzUo7ty0Y2g1crONNKEkP
aRwozp4Ol2WaGx74OKge6IEArIlVbKIcieiPQntErR599HPj5CjarUInldu6S4V7mjRjLem0yjqG
mEsDI2nDwkke2GE+KEyUokM1t2v8tzRuBcewTi8Xzj1dDnZnbvKKDo6mNzd+09wCRoV89UEELMTc
HhY1M1qi6I+IObBJDtEXR6Gu7yTaMJDzpRtr9jtgv+ds1O4MOlDeP2qEXNTLcW5P9YKOk1UquLks
Yk8TI5vsEPcW9LW6HZ46+lw77e/lMH60lthH9MHAYQDfKNh56ZDDCUNfmpRHzrxync5ttDY31Dmd
dVYExNs5cb3Sgk53WwlVlvSMx55BlVuX6Rcln8WoA5NpC5XROoqHnackm0hg2Ya7ipQHvgFWvFMo
rFcWua+DxBxQDSnXrWXSYhHzbAXJ1rcpl7QSV3XBorjUtY2Xa48Nptk5/x2Br7EL/bZetGb4OPo6
v1yRb6FXpq6JjoiRwKsC8rXWGHINnoBZ4T3oNFEM6xGpai3DCGybzAk0BOFVy4S8uA161LAiIqoU
qgF1hec96shMFl7hWVxf+rqczZOO03OLkoWzzHNuy4o4K96e/pEKDbqe5zuLFr9yCJmXSWa5wx9t
8t66fWHXpyFFITCySrRTfdcTOhM03X0mxB6SHX5/xSH/HWHtohXDZRyIm95vLowsuFVHC55NhF+/
igD3y153zUG5DFtbZUwZ31UBW4QwLSyXuAMgQAHE1DVYbT9YKrknF+C5BCimLthJ+mlEGECMha1s
wDmgF8pAiGV1mq+HFgpqPFJ3Al+21CE5h3kX/jvj/08tQmnw61rk8NK8/6yD4gf/W4lALiWlECuF
9XXMzz/9txKhGdKQ7hhEujHWEwzYv1Ui1h+49zRW8IYpxBwE97kSIWUKz48Bkua3MXs/9k+MCmGK
25qhsZ+3tK+hHJ/6p7rt2zI1x56Ug6uKPPQRefqnD+Xq79k1vNNPykTboKBikzErFBlcYgz5YWCI
+CfWW6ttT+DF96F1r4iTg9dcblXvqu+OhFP9+vXYc/zDK87v6NPfNDMFQsY1LYbOFsro6DfOYqxz
DdW5n9fnvsrtfdcYxdGM0WHX5tqMUOOBEvUMhOaNxVAxM58HzdF2pg4bY0Su5Kp1jrrZDi6NHEGi
rcXLohIo6+MPZ1Ae55jFHJIh8y9mYlAzZ6E+iiwipBh9JNAEU8CpgDTMTT0m4dowLH3tF2G+8cYh
YwMYAkuoUBLRX+Fk1qBs9nDA2vDaprojWTAneAucfunxLUXwBzwk+mXfuHLUF5BKzh7cnYWn6Ns8
V686hNiabe4y0YaLOPIv/j97Z7bbRrKl61cp9H0aOQ8H6AaaMyWKGm1JvknQspzzPJJP319oKEsU
Le3a1AUPsFlAFcqyMpOREbFWrPUPGWSIRpO+lkDFBm36vd1oyGf5s9baVGMFOaugBmGXY08VGP3A
N7MOAn1ZTV1/fZLhv3dp1TLd9dJYV+llBupqZhb5MKRPjoi3L9Xnm1znD5oE/eXT2NMXNQDtJUhL
Y6ZXNT4PjVb8iGR7YXISRkpjkVvBvI84FTsu6hjRcr0xr6ndAZKjsARbXthEBXe4Kv6MAQqOO0M/
6XP9CLbEqI3yRe12Ywgic5T5zmQ4L6lbjIJ+vaBEu2jsMhvVm0QeekZ3XLXyddGoY13PBDRy8xWx
R/Skk3W0DJr0LI3qKdoHy2gTHclZZA363KTKVAPHpE2Ovh0QEKB+8bgKra+c/XEHltDpV5O8mTdN
V4ODUsHWBsV6ESPJNqmwUokTwnt3qvv2RdWAxFCoTyC0UU4UNAncODhrUumya6EBSLwWFNrGduAM
rKT+afmcexUzPFe9buw0Cc40vYLeiTmC8H9eN5kPSIJaYadPu7KdyBxWa9OGCSKPsiy73KT6WeJi
x9T14MHqOGov+rV/QXNuDu1oZOf2DQ6MtLqNEo0FSRuGQfkrhVFELw6QFwzxDYgWmL/06dt7ufOO
U9RICp2mMDsYCjaoPWlaMEbwDoiBd+YH7YluIHxuJNNeNsaxBX6hd4+rKpsh24+8XS3ERZYQsEdq
J83ZKM7XtkeeFJDxabjAUZP+ppcVFCrIuEWUUk004vUsQpJzXsZUbEkIOMtLR1G1uaryjup/XJNF
ZZdhC1w1BBrSUKpG60VdOU24QqcHZ6o4RNkfFn1XlWsAmx3VXbe1Zw/bzH8AZOIs+m7Qq1d/DVbl
j9UuA0jxy8+BD5dHQopOhQ4MPD43RLe/A59Md1uVYd0bdJhokP4OfMYXoQwOnh6rgi19Wbrb9KPB
21Lse5Rh+wdn8NdBgnAE8h46In1Myoe4qm01tzVfkbp6nehLHyepatn3ty+GZUfYg/D4KgyJO8DJ
xo5Pg6josKHzJV+GocatdBRN+maJsMuYk9avNbaGsUsHpax/AdEalbiajhKdtowipXPIjrOyCHES
RIbAFIaJGUpgqQWPpEJAtvEnOs6KEgJTA9VZkJHS2qgjiDR+fKq0wo4R74VCO/USYdPYw8XzGMSh
4dOvmmiIlFaDTjbmvV+5nILkE01LfBMz1wACvB7EPws1dvEfgjWuA0KHkuRJNyHrkkqefgdwCCs+
BQldPfKLYwUACcrl9qmVW9I4tssbB9GsMRxoTie63p2FPTQgDQ/EiVJynkBH7rgtg++UJxYGjW3H
SdisPdwh4zSbpSkhAhzLlWvEU20TnNj0BdiM0u+SDAtG0XuAUhJcT4cuAPovEyqmIxRWLi28XiQk
tbSCLo4szdK8OarxMhgazfq8j+yjcIOnkofOFbjvo8KyVq4C9QgPg5nnSLC1glWNv+OgEnhuLHBj
LzyVoDXh4AP2TL2tIu/IaaxZUhgLPUVKpFTbk1iDkJho6MliqoNLwSDTnW9hsKlnmyg+K90MRNbG
P64D+ZajqAD2hke60HqIFcx+Nli9aBv9MkDPcehXvT9u7GC+jqmVGKEBWC80p3IRIHRsRt8b3aGx
iaWU7FHlTGskh7z0qN+UKMC013qmDdHBWpqVeUuQPY0C/cJPEGVthMK83p74XTnP4CF4NA/ROyL+
Od0sbruFr8aXcMYRcAvjaxos3xABvzbdZpKV5pG9MSZSX3439RrRsBpNG626zfjy6hqVJQleRxRb
47UF98I18O7sF3mHJGxTeEAi1rg31HaFMK2FfJdpfWcVYIIT3nounqN9VYcT3KqYNsWvdRbO7Doc
61r+vSnlW0lCy8ZCRi6CnNH2zlA24h+byD2HU7dBCcZbRGEZIbyZwyeRrCt/Awgux7OLxAoflATI
tYIBjJT7HNQ3lnFi9/hfBCgF09JDdM8wL0NHv2nyypug3gLNLxerJ+zwPUOQpMltDqddMTJwD0HY
y7joMUodNggLH7eeDFLK1KqxE+ftAJamO+4qhKlrFWUbhHllEw4bYvT2D5i07dgHwZ5xQjcb1nfZ
ulimrCVKOmHQBsu+DMxFQZoxoghAdItyb1hKQs0qzvyR7oNOjBtJHtcbuq5p7UYXGagAyuONfEx1
fmD7a3VQo7lUc+TO9byapyBoBooGjF5Ri2oGQCgce0GzwJuZIBzlKYr8xtTtNw7cRJWQqcf5OKuL
DPhIEJ9a4HQiHISq803LN3bd/M7YrL+VrrayomLG/kYdXkmGjiJJ6AtLC5eKjajrGIPINKiOx1ly
iZmAxFK13Pi6idKLri07VBDNUz2wB+wswzLUR+B6mxEgx2OrsNgQFR7a6s7TBheVnLoYe9QRfqEz
sPlIAofDfFMvoMhMfcM/QUnuOqKkhHvBUQdZaZr20Xc9RDCqCuphZ7vmsQIuGM3UwPqBaYA6hApd
odZcdMlVpCTdpEV3TKO5ONToS4Jv2UQc+YPyZGNHS03NAbFW50qB/mCMAlGf0DnYdLTJFWuu4giB
Ko5ZzuM1Ol9o2iZqQq4LiwDX2gbfsq5OHPac5qiTzex7qtcS+6/0q6h8ebRuSjxSbNH7zE3cs7SY
swFSs+0My7N2mlLGm7L1+9duwR3UJr5KgQrDQ5Kdo2ZdQqEIPSAABuwJMGGwJlBg0jPryijwqh0g
FLQZJBCNR2vdpesdFVemu76yU2Nzs3FTjLWbrJpgUaMMLHTnaswLprmMICTk3GxIiwlQU2s0N2UQ
25PeXuMPhomLT1Ty65lOnW0QdQA87KQcrZPs1mzzOWJsk94CS1pliNlYR1Gx/ioDAGkDoBpZ7n9t
YvXKbgoHKCXYzAwnuVHmxmtOM2EHnUa+pemujbReL24aM0fuLIORhf9hdIFGNoxXV7tRe6e+xPmi
x+xOcoYhba0PTom0NF+eSoVXLQA6Ug0HaRZkC7bPiEliarYXpss6QgGv38wNDlFdWU3ezwLU3ffh
6MuBTmPZbycBtYXzI83GZRLHJwCkv7IrndlJ8p3tEujX2hEKZfGs7fNJbEezSvUXeFYBUE2P2akW
hlvRw4vOfbe5MAt5rPm4QEHWTz33PmvwVFizBPSNvTTljwxgdz45KEKcP3UD2D+d35fpi5E0WVA7
UbrEDhCw8pUAyvnZB3o8W0oOjy6zusYRBvSjRRFi6z2gAJ+vk6hpl7kHHVEy9bmWsTHIbkHcaFsI
8lJ7I+Vxdp46zEFHnoMEF1KkORuVJp9vwoRz1KY5b3zNuUyJSk3WcqQE6KdDBBgaargRDMdlIOGM
5FLH61TWjZl0EFFgigs4yyqqMbuOEU3cAFtwK8Uc+3EQjaNau5NKdYKxMeh7rTDxJ3OUYVbA9PLB
8RCKSG18c15s1HtIYStOVpQKIQb3VnyCiCZtRGst4ZnWhScyNh+DTQ/EyFOoF/sOhRYl8L65jZJc
FR2IcUfxFkaCRGJl5niDKN0Y7TFwvKiEUZWJxrmsntKjT0f9hiOsosULV141uJQZ1px98daWAA5Z
nTJbYx4D8t+HWgfXKzfLgSbJo41O6tGzzOAv09PppWRW1lirJkp/BJJxhQmgf0fNYiqblFyt2Met
V7icVsUEUT5qoGp/kZhmDDiLM6256Y8Lq3okIN/1/8+7z3YkzdTyt9clTscsSJvpIFpkgn7ycta5
mpSl/KxeUgFbaU5FDTlv46Up0VFhP/3uVdBJ08ofKmY/soMHEYv4hFGB1OZHYBy96qRG2AOW6ImR
2TcQ4/1JlRjFpGlkfZ4YAMi9AEn7Fh3WsZzpyYzuMQ4JCm7EFKjJR9iIEGylKGMUl14CgggBxYxo
QGkaHCbqZ8XETDZ3ZWauHMw1gOZnFsqK6lcTq00dLhUS+MoIHhg9ebTAqSebN5BR53hU/0TAG1+G
jm3AiWdm2l+5DmYsbYmpnXZpwhjb9LDT1uql0bYnUehfFoFxgbPD1FzXN3YU6QPyRnlsFsgl+kU7
pn6HobvgLmqhNJIpHI2gXq4k5gSmQtqtokk3it9itIxd1ti35Em7wR1O6rOxopdTWQ7nTtqO1Ywm
C8YJekRV2ba7YwuFik5pK8K8wJDVV1qXLx27n1eAXCGF3RUgUFPLHKN4QQ8rHUVtdIpJ2cJKzUmH
Ab1vIZsbAOxTneA8yqVojoLQOKvWYzN2abCR0GSmx7mExdhKznlX1L8CS3IBxwlUIUT9uomGZoVY
CngOaEALs9KmgQYF0haO8Lq3GXYiQ40acAUILkRKd51lQJ6k4AxhzIHnIz4XSccJUdzvPCiU8W2b
V/jHQgGZ6xT0FKJm7HbITqJYWSb5qMEPB4lIGBcwdzb4fFtOkNML8bphJbPpblRlEtIWRbXgzLWV
mZfWEEWLRSpQjHUdSyhZdvlsHVtHutcd50LA2BBUVJiatETRAfNzyl8Vp4QYbzotGVNbE4LPZ6Yx
tlDg7+wlFmjmepLR5LLaa4o09BXkE5rAJXAzfRH6HVqaGKgdY3xiDStEcoYWZFLUaVAQIG+YZesa
hoVpzcqWLMTKUKiwoB+3bql8ENo+WKmaOP6+rLL6zhq+a9RQRaWmWJ0koDf6FtpwdxqVJwonlvdD
6VuNs1c7g4DRv74f2J00YWfIsnvF+tn2F62zSL0bGoLv30jU1l/nBsJtHQk9JAGBuuqGiIwvvllX
4faOtGy/3GCvPM4DdB0DVxXiKdnczxBvi/oW24wAiDcqSLA6bGNghhlonRD8JW73vBlF+gVc97xP
NXtAY/6bFGSnyLJfxqRvnHpgpKmXvYd0ZFp7E9RSvqehfi35cX7hNVE7Nny/niZGc2yE8oDEYrxG
rWVIijdNa826dlTnMkeWlUrKUaOhIaKpgI3WcyN3TrvIOy4J2xYypZEqzFsl4XIx7HPlOsnLcRC7
8y5Hfyju7QEspdVGXhvDuPNui94p0Zl0ATHhcP/BqL6utzwG+peDusXbi0w9RV7J7pd2/93f/Fjb
H6jFfXT9rcAhSzE5shetl4F9mYcYbmpfP5gW788Kc2v+JWYSyZHqrZeGegbEdMAwyf76sZX2xwAo
RuE3LuR5lCBXkpIqAqXyeur1VtX5FXLbSwe3k/qu7hJykq9Bb33wNh7E837f6KH8pVmIaBFqHVJT
ZetG6zCAe7vJ1SVpzB1BbXQVT+AZjuERD68H6eB6jvLn4sdFMPS/9eMVUoI/WNHVTJu/P6qqqLP9
fpDHb/wy4G8lgE4bOLnjsY3Uk3YkD+G+XzbT5NyfOGNnGFM0nzLOE2VYDtA3GDs02sf6Mr17/ymM
XU/xcnaKzefFko/dKrZVfFKWN/1cHVuDeuKcWQNaVgN/NL02hgtzlEydpT/pZ+mlMbsCQDjtZ+x7
g800Qx1qROls5IykRTNLp9WpT+F+4I2+ZYNmKQ/XU2PuzLPjblZ+TSaX7z/6drcLZdHXu9XWAEpq
FWBGHTAvB9kgn1T3sOOulBHSPyN8Nkd4oEySo2x6drcYN3PsRPtheEQ7/ShcQlccumMzGvx0h9/e
fyr1dfHzeSL/vYeaW9EhoM1cWiZP5c+dgT/czJKpe5XSWqHHPoDjPoDJOYinuHHO1O8U0sbv319M
3+1ZhQ7K3+toa7dhq5Hw0Vr3S3mTja2uO95I0bJtsDl9/z5iV3nvPlu7jo14U9tu8Iggpx603Z3c
zzpYAKiZyGAL88n7d9u9x/39rbYPk1LC5m8UYbOEr8TJ7yL3zve7wdaZT+ttdM/hCy6xs1JD6oDO
R93gD17MAzDuxUKTktxOLcSRl1m+BHo5ydWbDZJj+32Nrc2tUuIqbK2wXvbirWxiNFf+ue6mWHW/
X8XWBGtQoGhAWKyXHbbvAeYrEdD95Oz97/HB7LK2diXT9aQ1xTmiQW8OdScdR3GN52gztDB0Cjt1
2XrBB0O38/0YD9BJtHacbTcZnG40Nw/qZqknv8pwgnsDRb7p+19r5zR+cY+tRRN7Ds6Tvt4vjRAD
Lvk8ST6oKnx0g60tcRMlvRZmRbuU2bQpRkda/MEwPcTH9xa+CCgv5rEf0PRxY+YxZ4MB4PGjdhad
cEQYHmHkPPZOm0HyiPj9Y2ogzG/f3WvEt35xS4X6n1KrPjHqhsIwFgZDOOoD5EtWymIzbwdnG4zD
CN3GOBliVnouDS7qsYjqZ7fFmXbEqR1hjfG6HszSoT/96PF2BvIXK8Lcmqx2UHYyFhb1UjkVgVwa
wJ3U56kyHERTfXSdDo5gIR//kn9wOCu/ro8BU32we6lie3rvpWy991aqTL9w1uQSI8ztRvjyqebA
OY5HF87SXMBfGt1i3DZIqdhOQEJO7aH0wQ790SM86HS9eElS3+A73+X1UjrOBv2Iymb405goI+u4
ue9n+ThZWFNpKv3ybrVhP41OcX+/f391PRy83hkFa2ueRK2W6FXK1IRCM0GrdxCIrG4eDa8wzpjP
gQ4ONss6GVzjbjRKJvnUOkOXdNSM/TmK+9/j4QfPIxLjN8/ze7kbW6mALTn0hlK2lGIMuX+Km2Q/
2Uw2i+BYGdzh1TSJhvY8n1HUW/RD6+vYJjvAz24aTS6DkUgSnpKD/7TuBbbqndZ9vUqDKobu8RY6
L37zuW8PdB5yuRCR/1vL5e++PVJ3/Ah8uKEJ7g4L8BmwZsNKp4ALr8eir/Pwo9/QeWFLJsjqCO3j
efaPKD9QhV7NJ44utmwjTgzNHeU8mVP0631QsiUtKvs4O23WmK6chGpuhEtFl0N1XNcJYmBB0dbD
JDaWRl6cNb59p+OQPS7V5KpVoC0mSrIo1PIWwM5RXKUXQRKMaknNKKEh8WsYJ3mfof5gdVMEnjBn
qKKFL3fXWCDegzLvB1mrVujNmdk5HloTJQHw5VMobag/IuBKRy+uw5OaU3dv2nR9tDZVfqhoqPZt
58XoZLW2MoebUAZHamTW3jRCRmwzkKGPguvKNTSZXEnGQ1o0WyyEmqaFhcImviz6lebWFsp0SRc2
9NA9X1+UYVDdhp2bjhrWvToRtqSbYd3gzoh+WjjkVFx1Y4tCJLZmAtEdpVa7GRcPSO/kAfWNv8OP
BvIUpi/ptSWg4RBqocoIsDio8dyFLmUJIHloAymHQ3gSCJC5WtU6kjHBuNi4HM1Aomdu+1UFmS6V
m3kNUr21kmHadnO6wiNETRd9Z5w6cNQHNhj3MlYvMNlc5VJ2DNRdQs2jOaEcBkwVfLwtgPKlo1y0
jTQ3QdCD8FraIOpVrYQP2c3wjjjqQNx7IO89h/YKSPwmw84MZL4D2FgFqR857cgHue8q3qnpU8ws
4vwyBttvpcEozuVpB+a/rG16Ud0cCtR1YqF4AjfAsSvabpAFAPWq49D5lSpoy8Im0GAVdIJdkINM
zyosZ6ozJ6pvEUMdWfjM5LAS6EEsUTc8tWEr0GBYpkAdK1gMG8inLawGPRHCNTqayd0Ehbll6GbL
ChYEvgeTBlZEaIRTusPfVSOc2LAmcq3+4WW0dMWr9yznCnYz0szK1IZvQYm2HjQwMBoVCYIiXJam
ClUEkeON9NWAsRGH4PppAo7yKJlXFC85sgwcOB4OjOc2ja8tuB+Z7F/UcEHc3FhocEPQLF3KYYuQ
81pZdLBHEByohw58kgheCTLDR2i3D0sfcgK8E/zAjzt4KFkFC9Zel/elpVKb6y9KQVlxvdY4B3E2
DcwOOourQ9xSkZKPKT0nUQzrJVAzDQpMy3gZfXEqmwbSv0ypRmgCtpU0xGUvH+WV83PtcaDr0TdO
tIUVeOd9UZujHilIvPCsEbXh73W4Zvpp5ijP3WlftOuJpLkYecYnnYNTgZ00V/DSxpqk4aaq12De
sw0cBXyx8NPRraHkA6vJWykFDK+cuLp+oWNYCt8FE62w543jcH4W5tK00hNKEWE2QzRJGkoVVihF
r5zUYTNF/3BoAFWRO6yomR28LZVyNxqKZxjCAgzVq2NVA8ThryvAgnhRuGB3CmmqaN04MfGOVYV4
d5Hc5Wi+TNSNBHqu6kahu2awavPciO05ErnaqMxCEKORi+TQBuqOhK9SJqvOUPUNQKhBvqC934Bm
lIYYyt/Ulk4nSU3aoZRslmgDnfRR8NPUihDehooOON3eXjDk07C9MFP1G/rWR5JB6Vxq4glcIBSM
gu6ESL+GusAOkEg0B5w8bUZq4TaDLqAzEjbrRVYoCIBqwWkUFV9bs4HQ4vdXnmkw30EvpajdtXZ0
6sYMDegkADFl+NVpk3QIQR+ioiF1CzQ342PfMKPHbOQ/sd8gFv859l818aokkXyj/MZvPcd9+LwI
pMk4SajUBYF1/MbrAeWjSIgyivFA5xVHk+e4b36BeQvPF76vTEwWDbvnuC+MTh163mQMSPSboPz+
AV5PtV+XlAwZph5eGsh3828FZ+WtUz07vVykSdYsEVenxRo036GicTyNaovoGY/WZXxtKG4wxHr4
JChxgTSUDuXHtD0DEje3HJcziYFPmUM/rJKCY78JT3AM7dCICi5RM/vZyrgJSFlLM0wCNep2Kj6O
UEpd2fSGSYVtWi9fdxvzu1rpN06BFKrtOzrmJFBKHGkzwZNKGhedD7sGqguyjrBGcM8y7PR7vs6+
tj5Co1ld0bo2zW8lwitpn17XjnTtpmtsii3O9sFJG/mLOgu+V5mdDALHOis14w5XA3uc8MUAwEJd
VVUkw5TsNlkDjNBDDMbwT46GRdzNoOF+XavU+dHSmeg6EFw1ROFb7wK84iT7J/Z5xogyz6Kq4ysM
30i+PWNsRPZFFjg/i8o5AwIOyb8ALyZ7YT12u25p5+0Nam93bp3duoV6iln8nY4Y9bCJSm/cpJ01
q6zkDArTTKgKY+L4PVYBQuWxTWsVr4FBl2d3neKcoP9Tj5I1+OqcPRDUSuJMyNdAtCnWAmu2o0J3
6ergOBfk5WQNEF0uuyPPcWaealysNy3qq+G9lZRXGhJ8cMhu8POG42PxkLwkRy6NQddh66nKKHti
y2aiZFyd+E7/i1CYjUitppnsysOmDBG1kNVr3TMu9Bq7UDuIrnRP/dWoZjtfB+LXwfRMEEO7SaRm
VmU+ORnu400NrMtt6nBKN/wWvH80UfNmyaaLvVZkxbTscZOWdWlgbqKJbAESQG1xWtQ+mMkI/FiT
89bQKQEhhdpdowfaoNjYEzOoQNxX+XHgJsWRgI2AEAU1ZnSbC4u+fJeSIBQ6pqgbFzuGCOKRXCNN
am8q2pYNM86wOmlob5jE64p3mKi5hynj5jLzSu6a2hPPbSeu3FxubO0o6CJtYKnImlaF6428GNX3
tonu6qy/sZFjggKd/5AVjHLTzEUBHdExvNYB/pfSMJP8mYwvwEiyAJTLckZ/Wp4qMkJLiO06MxJI
DOpa+x7H+oXdZy0UOAzgAMfNTQ8vPbVBUNBLelwBDED9ZTBgNibEjPpH1TjEmVIxgbXkm7OkN9Vj
PcWfvYev681jFaPgURR119gQlu24lCo/+MYwuPWpWgu/QTMwtInpJnJ6ZdG5zpAwyTfawCljgRqw
E+sMKnpgnq2LwD/Tit67BXU0rmKm0EDwv5c5ADD8LMn+un4gE/98y/Eu/UKWkIgx+nM5lpC/LgIU
QKxWA/GB7vCot82qmEO+c+EwBP0DZV6LEXJfa0Oli89xzeoLSP6aehN1GHSdoAwomI2xr4x607qT
vQY7kMhcl5QMOjdzhHC9bhS4caqWdyXXVlzdqrj6UdPXkP1DZSQx3e+REWB0L6tlgve40zf5/zfh
8imij1b1apwiG7A+b+7L9cV9xTurnuOI+OlZBvL1Kvv3/tL7F3oKl1fr/P6//2v1MwnSUVDVZXBX
v4ykBkFxK/Y+PNPDA793iXjF92p+cm3N+oKNDbKPCmpv4kPsRYjZe/qxpBCATQXdJyIfbAk+Dzd8
MUZ/GoX3v+DjcL7/d/78DUTu8PBq5j//+78eGXOK9m+MBNd5MRTGF2rMwr7O/ONQIGjlIE1LhZGM
59AGgYbcvzMdXg+C9YXKBskUqroPH77qq/mgql9UyjAoBB7kGJALkr29Skf/lSXxegzsL+BAYUwb
YkT5kFm+GgPWBAIzuJKJCucBTgQEcHjkPQdB+4IHnugz/WkQmCkGjRpTbBkHOQjK/oNgfoEppIEO
FfOKz/buSMUSBzxsNITu9EEOgiA/7TkT7C8Ko6AgqvQ4CGKxvAwRDAJppAMdll7kYQ7C4xR97Hj9
Hbo/CJPbe4KoJLOwWPLb396i8OywFJ6nyEGOgYBv7DkR9C/ocUEq09CqER+m1quh4ByvOpyTBZb6
IMdAQMn3HAPqEQoznSxhd2wQGj9kEHDrD3VbFG2w/QYBdyHFMk0ZCYHHQeB9v5oIIknAdohhQMCZ
z6EOhbz/mnC+wIfB/xRL4ofPm80REQYWDT0oqkaHuSgeH2y/zVEkxpDj8esTn+2EiflAI86GhPIY
kg8tc+bdPYauPQZBV75gV0QoECMhPm8yZ52pomtkzo+70OENwtOWtccg4MSqiI3RQgDt4fMmYdIY
BAvSsxiew1wOjw+2zyCgiaw6Jgymh3nAv7a3R5ncWiTXQmKFz8Fuj5+RQIMNMg3oAE9jsTUU4ihl
ozJjC5zTYc6Hx2Rmn/lAziBEc+CabX17sS/S+UAh+1C3BH3/jIkzlEUugCvz4xTYERxIq20k8w/1
+CAEFvbOmATrE93yN1OApBq5cCSXnsLGgS4D5XGT2mcZqOx6qi1Msx92vbfHB+OLwVZhkFse9LYo
pIj3mw6aSZUNBRIZZdvHz9bGoIgzN+YXQI0OdT7snzqbX6ikUkvUKWM/fLYHgdIzP+Mkdai5wlPQ
2mdRIFXDgkCt+ulMzdzaPkrRyVZgKR/q7ija9XsuB43+v2zgIPG4Mbwps1FYgDMkMxEOtbIg3OD2
GwRh2UvFGVG8p0HYrq6IMhs/FjDIA90TtP1PksQIcBvGA/361TpgCigII1B8etotDnQMnvaqfbYE
bJaQItLs531xO2EiOCDvRDmSbUN8DvX4IPCz+60JupPU1i1EKp9eOjP/1awQhSYVNK4DxEfc6/DO
1E+NgX3mA+gouMC0IJ7Ok9vzgUEQUl8YVRxqsqDvPxMoLGg4T5EMPOYKbwZB+YKmGxn2wZ4ihNDb
nsuBtNHgS9KR2p0xUXxGn07moHGoyYKga+45CA97Ah05+ylQsvJf7QmUFCDIWWjYAtsTnwPdGZ5Q
BPvsDBSfTaR6NQGBFJ83KQOWXqj906s42Pmw/1mK3FA2HdM2nw7Qb3YGEiu024mW+sMgHWqkELy2
/ZYGJWjdeYCpPpVaeOuvlgYpJMRopsMTWubwwqW6/7GS7Ahkxt/T4U0dnv2BnMFGGfRgd4b982hT
mHhiWC0/9ex37AwgRnUssx8X4OHNBGP/mUDDBcaWJv+pLSVmAhJs4LsPNXES5cL99gSN5SDkYEmc
Hna/tzGCFJpTJeS2Q50JQkJk70FgvYuOyxPKccdyoBbHVIBG+PA50JxBUG73HAqyI2TxaU49JdJv
jlT4FzFOKKMcakdGyCLtOQgg/NBXErN+O0LSxUU5GlmvQ00T3thU/XN8IwdKjpOYPz9l0DtWAxYD
HKWcx7zyYIdi/+TRhl4E2BM67+O6f7MaREol/gHyIz6HOhTCLXfPNUGX0pQ1+lCP3/RtoJC/8EOZ
xOrAZ8X+MRMPFPqRFt2Xv8PB6zxaxe5cRibrqcR1eNmTIMrtOR8M8gLV5PjIUDxN/deDQD2agj1I
t0PNo4UnwJ6DoIsXLUprf8YvYBcA1g2E1yEnDk/10X2KDZyzqTnTp/rTOVv58qCMgN3Ow7Af3qJ4
w1T956GTniUWjcTNP9NlVEcMgxB6Y+4d3iDojw+2x0ygUwXzgWaM9idAuIqOB1Bhto8DHQTjMY7v
NwgW7WvyqKeF/yZzUMmjhVXWwWaST+t0n0EgW0bBkff8DHXbTqfVLyZMGijUB7sceG97xgj7y5O+
zJ9qLQ9NTVOnlXWgy+GpXbDHTBBlBrovqNY+4RhYYK+zBXDQukPqeLCtiTcaRv88Olh06BHQMcw/
gTmoxyMgBE76UAtOT2Frn5kgxByggXB8/GPeyClDQabuUPcEY/8ThMBBK0DZqDI/fDipvl4Owgra
Qobpn2yM/0Iy8TdBGave+OcDNTm4r3YxmP/0F545uW9//oJz+8A8fvU3BVX58eaPzFzx///zirms
PiRDL376nBw93Onp95++4tubv7rZ8/d6/sNZcF+uyjt//fCD9dODLlcJDOf/jfnPz9U2Y1gA757/
bAfN+mVl4f2r50F6/3yh33RkwUL9/VW3ONz/8sWT1c+sfL7Qi4uzue59cfzj610PzsPtfe3hKl61
vJLq+Vovnp1Fv//1s7ip3rxSyhIE2E+4eFqXq7+GWVXvugWHm71vMbqP/1pm5c7xZ+/Z+/rj+K9R
VjJ5nq/1YvzJd/a+/qS8r9JdFyes7X3xaXyfps/XefHgn7FcZ03yI4t/1m8vLzDeez/6PMnvy2AV
P1/q99ML+PT+l0/XOwZdwJH3vvTxfbljzEWbeP9LB6m3YyNQPmOtLlbRjj1MwHL3fuzFqqrud43J
ZyzQRVb99b+pdx/f7xqZz1iiJ6ufbMDP4/BiIn7GEj1ZlcGuofmMJSqunWe7dneBHdr7tZ7cpz+z
u2DX7iXob59w/fLu/ufzhX6PuyD97X/xjGd/vs6La3/GMj3Jdo7JZ6xSLl3fl/frHU/+GSt1ucp3
THRRe9p7wJf37ept7oi+xmcs0VOMirwd25cQ79j7yc/i1d39jtxRFOs/4eJNsiu5E+3pvS9+EZA6
VsHPHSMjqAZ7X/9ydVdyJEjrHbFU+4xVerlK/xrcI1S26wafsVQfb1Cmq/Lnzo1MSD18wjClf42C
e2/Xl/iMVSu+xIQVcBdUd7vu8RnLV9zjKFsVza5oJRrpnzJKiyao/jr9EVT5ru/xGYtZfI+TVX2/
6/qfsZ65/ofe2g96W3uclB/vMUQNdMdmLdpTn/Eu+BbDstk8X+x3iBQ81v1v4K92nglFS2X/i1PD
2Dk0n7KYgyoK1lnz/JwvBuZT1nIWr3ZlD6LWu//AkJgku+bMp6zfj6Tp9572osyyIw4LSsTeQ3N1
7692DY2QeNn/4uT4qB8+X+n3lBHNs/2v/p4u8L6DftVQIEp21eVEfXvvZ//GFZpda1VgVve++m0W
79jnBeht/0s3P3YsJFHu/uDSu8qyfze33xZrn9Udd/3a61q0+Bt38f2q/J//AwAA//8=</cx:binary>
              </cx:geoCache>
            </cx:geography>
          </cx:layoutPr>
          <cx:valueColors>
            <cx:minColor>
              <a:srgbClr val="FFCCCC"/>
            </cx:minColor>
            <cx:maxColor>
              <a:srgbClr val="FF9999"/>
            </cx:maxColor>
          </cx:valueColors>
        </cx:series>
      </cx:plotAreaRegion>
    </cx:plotArea>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image" Target="../media/image3.emf"/><Relationship Id="rId5" Type="http://schemas.microsoft.com/office/2014/relationships/chartEx" Target="../charts/chartEx1.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156576</xdr:colOff>
      <xdr:row>0</xdr:row>
      <xdr:rowOff>0</xdr:rowOff>
    </xdr:from>
    <xdr:to>
      <xdr:col>26</xdr:col>
      <xdr:colOff>172789</xdr:colOff>
      <xdr:row>45</xdr:row>
      <xdr:rowOff>8562</xdr:rowOff>
    </xdr:to>
    <xdr:sp macro="" textlink="">
      <xdr:nvSpPr>
        <xdr:cNvPr id="3" name="Rectangle 2">
          <a:extLst>
            <a:ext uri="{FF2B5EF4-FFF2-40B4-BE49-F238E27FC236}">
              <a16:creationId xmlns:a16="http://schemas.microsoft.com/office/drawing/2014/main" id="{456C274D-1983-4A70-8771-C7764A489B3F}"/>
            </a:ext>
          </a:extLst>
        </xdr:cNvPr>
        <xdr:cNvSpPr/>
      </xdr:nvSpPr>
      <xdr:spPr>
        <a:xfrm>
          <a:off x="156576" y="0"/>
          <a:ext cx="15975404" cy="8099461"/>
        </a:xfrm>
        <a:prstGeom prst="rect">
          <a:avLst/>
        </a:prstGeom>
        <a:solidFill>
          <a:schemeClr val="accent3">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3</xdr:col>
      <xdr:colOff>208767</xdr:colOff>
      <xdr:row>45</xdr:row>
      <xdr:rowOff>8562</xdr:rowOff>
    </xdr:to>
    <xdr:sp macro="" textlink="">
      <xdr:nvSpPr>
        <xdr:cNvPr id="2" name="Rectangle 1">
          <a:extLst>
            <a:ext uri="{FF2B5EF4-FFF2-40B4-BE49-F238E27FC236}">
              <a16:creationId xmlns:a16="http://schemas.microsoft.com/office/drawing/2014/main" id="{02031D71-326C-4B54-D5D4-E7C60EE1D93B}"/>
            </a:ext>
          </a:extLst>
        </xdr:cNvPr>
        <xdr:cNvSpPr/>
      </xdr:nvSpPr>
      <xdr:spPr>
        <a:xfrm>
          <a:off x="0" y="1"/>
          <a:ext cx="2186542" cy="8099460"/>
        </a:xfrm>
        <a:prstGeom prst="rect">
          <a:avLst/>
        </a:prstGeom>
        <a:solidFill>
          <a:schemeClr val="tx1">
            <a:lumMod val="85000"/>
            <a:lumOff val="1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14</xdr:row>
      <xdr:rowOff>2140</xdr:rowOff>
    </xdr:from>
    <xdr:to>
      <xdr:col>2</xdr:col>
      <xdr:colOff>207442</xdr:colOff>
      <xdr:row>15</xdr:row>
      <xdr:rowOff>177775</xdr:rowOff>
    </xdr:to>
    <xdr:sp macro="" textlink="">
      <xdr:nvSpPr>
        <xdr:cNvPr id="16" name="TextBox 15">
          <a:extLst>
            <a:ext uri="{FF2B5EF4-FFF2-40B4-BE49-F238E27FC236}">
              <a16:creationId xmlns:a16="http://schemas.microsoft.com/office/drawing/2014/main" id="{EDAD2318-E2B6-4377-ABA2-15B6FD5DB0CE}"/>
            </a:ext>
          </a:extLst>
        </xdr:cNvPr>
        <xdr:cNvSpPr txBox="1"/>
      </xdr:nvSpPr>
      <xdr:spPr>
        <a:xfrm>
          <a:off x="0" y="2591460"/>
          <a:ext cx="1916393" cy="36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bg1">
                <a:lumMod val="65000"/>
              </a:schemeClr>
            </a:solidFill>
          </a:endParaRPr>
        </a:p>
      </xdr:txBody>
    </xdr:sp>
    <xdr:clientData/>
  </xdr:twoCellAnchor>
  <xdr:twoCellAnchor>
    <xdr:from>
      <xdr:col>0</xdr:col>
      <xdr:colOff>0</xdr:colOff>
      <xdr:row>14</xdr:row>
      <xdr:rowOff>86039</xdr:rowOff>
    </xdr:from>
    <xdr:to>
      <xdr:col>1</xdr:col>
      <xdr:colOff>1305683</xdr:colOff>
      <xdr:row>17</xdr:row>
      <xdr:rowOff>29592</xdr:rowOff>
    </xdr:to>
    <xdr:sp macro="" textlink="">
      <xdr:nvSpPr>
        <xdr:cNvPr id="17" name="TextBox 16">
          <a:extLst>
            <a:ext uri="{FF2B5EF4-FFF2-40B4-BE49-F238E27FC236}">
              <a16:creationId xmlns:a16="http://schemas.microsoft.com/office/drawing/2014/main" id="{5AB435DC-BBD4-4F12-A4F5-D54FDCB2F37F}"/>
            </a:ext>
          </a:extLst>
        </xdr:cNvPr>
        <xdr:cNvSpPr txBox="1"/>
      </xdr:nvSpPr>
      <xdr:spPr>
        <a:xfrm flipV="1">
          <a:off x="0" y="2675359"/>
          <a:ext cx="1579411" cy="498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                       </a:t>
          </a:r>
          <a:endParaRPr lang="en-IN" sz="1600" b="1">
            <a:solidFill>
              <a:schemeClr val="bg1">
                <a:lumMod val="65000"/>
              </a:schemeClr>
            </a:solidFill>
          </a:endParaRPr>
        </a:p>
      </xdr:txBody>
    </xdr:sp>
    <xdr:clientData/>
  </xdr:twoCellAnchor>
  <xdr:twoCellAnchor>
    <xdr:from>
      <xdr:col>0</xdr:col>
      <xdr:colOff>215383</xdr:colOff>
      <xdr:row>5</xdr:row>
      <xdr:rowOff>44449</xdr:rowOff>
    </xdr:from>
    <xdr:to>
      <xdr:col>1</xdr:col>
      <xdr:colOff>1036568</xdr:colOff>
      <xdr:row>8</xdr:row>
      <xdr:rowOff>88838</xdr:rowOff>
    </xdr:to>
    <xdr:sp macro="" textlink="Trends!G5">
      <xdr:nvSpPr>
        <xdr:cNvPr id="21" name="TextBox 20">
          <a:extLst>
            <a:ext uri="{FF2B5EF4-FFF2-40B4-BE49-F238E27FC236}">
              <a16:creationId xmlns:a16="http://schemas.microsoft.com/office/drawing/2014/main" id="{5908D0B2-F4BB-3756-89AA-F1C6F17FECAE}"/>
            </a:ext>
          </a:extLst>
        </xdr:cNvPr>
        <xdr:cNvSpPr txBox="1"/>
      </xdr:nvSpPr>
      <xdr:spPr>
        <a:xfrm>
          <a:off x="215383" y="943438"/>
          <a:ext cx="1095163" cy="58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02A6F3-57AD-4512-9B01-9B74435A0619}" type="TxLink">
            <a:rPr lang="en-US"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pPr/>
            <a:t>2,400</a:t>
          </a:fld>
          <a:endParaRPr lang="en-IN" sz="1800" b="1">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0</xdr:col>
      <xdr:colOff>215383</xdr:colOff>
      <xdr:row>8</xdr:row>
      <xdr:rowOff>143397</xdr:rowOff>
    </xdr:from>
    <xdr:to>
      <xdr:col>1</xdr:col>
      <xdr:colOff>1036568</xdr:colOff>
      <xdr:row>12</xdr:row>
      <xdr:rowOff>7990</xdr:rowOff>
    </xdr:to>
    <xdr:sp macro="" textlink="Trends!H5">
      <xdr:nvSpPr>
        <xdr:cNvPr id="23" name="TextBox 22">
          <a:extLst>
            <a:ext uri="{FF2B5EF4-FFF2-40B4-BE49-F238E27FC236}">
              <a16:creationId xmlns:a16="http://schemas.microsoft.com/office/drawing/2014/main" id="{3584666F-127E-40C3-B398-C2C7D0AA193D}"/>
            </a:ext>
          </a:extLst>
        </xdr:cNvPr>
        <xdr:cNvSpPr txBox="1"/>
      </xdr:nvSpPr>
      <xdr:spPr>
        <a:xfrm>
          <a:off x="215383" y="1581779"/>
          <a:ext cx="1095163" cy="58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7A8477-7B5F-473B-BBF3-F3C1F56BB4A4}" type="TxLink">
            <a:rPr lang="en-US"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pPr marL="0" indent="0"/>
            <a:t>11,997</a:t>
          </a:fld>
          <a:endParaRPr lang="en-IN"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215383</xdr:colOff>
      <xdr:row>12</xdr:row>
      <xdr:rowOff>51517</xdr:rowOff>
    </xdr:from>
    <xdr:to>
      <xdr:col>1</xdr:col>
      <xdr:colOff>1036568</xdr:colOff>
      <xdr:row>15</xdr:row>
      <xdr:rowOff>95907</xdr:rowOff>
    </xdr:to>
    <xdr:sp macro="" textlink="Trends!I5">
      <xdr:nvSpPr>
        <xdr:cNvPr id="25" name="TextBox 24">
          <a:extLst>
            <a:ext uri="{FF2B5EF4-FFF2-40B4-BE49-F238E27FC236}">
              <a16:creationId xmlns:a16="http://schemas.microsoft.com/office/drawing/2014/main" id="{52EDA7CE-30CE-48A3-954C-331184BEB310}"/>
            </a:ext>
          </a:extLst>
        </xdr:cNvPr>
        <xdr:cNvSpPr txBox="1"/>
      </xdr:nvSpPr>
      <xdr:spPr>
        <a:xfrm>
          <a:off x="215383" y="2209090"/>
          <a:ext cx="1095163" cy="583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92435B-5299-44B5-90E8-38754A48CC88}" type="TxLink">
            <a:rPr lang="en-US" sz="1800" b="1" i="0" u="none" strike="noStrike">
              <a:gradFill>
                <a:gsLst>
                  <a:gs pos="0">
                    <a:srgbClr val="FFC000"/>
                  </a:gs>
                  <a:gs pos="92000">
                    <a:srgbClr val="F9F8BA"/>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pPr marL="0" indent="0"/>
            <a:t>$649.0K</a:t>
          </a:fld>
          <a:endParaRPr lang="en-IN" sz="1800" b="1" i="0" u="none" strike="noStrike">
            <a:gradFill>
              <a:gsLst>
                <a:gs pos="0">
                  <a:srgbClr val="FFC000"/>
                </a:gs>
                <a:gs pos="92000">
                  <a:srgbClr val="F9F8BA"/>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215383</xdr:colOff>
      <xdr:row>15</xdr:row>
      <xdr:rowOff>150466</xdr:rowOff>
    </xdr:from>
    <xdr:to>
      <xdr:col>1</xdr:col>
      <xdr:colOff>1036568</xdr:colOff>
      <xdr:row>19</xdr:row>
      <xdr:rowOff>15058</xdr:rowOff>
    </xdr:to>
    <xdr:sp macro="" textlink="Trends!J5">
      <xdr:nvSpPr>
        <xdr:cNvPr id="26" name="TextBox 25">
          <a:extLst>
            <a:ext uri="{FF2B5EF4-FFF2-40B4-BE49-F238E27FC236}">
              <a16:creationId xmlns:a16="http://schemas.microsoft.com/office/drawing/2014/main" id="{82D6D9FB-3131-4D99-BDE3-8C990BCD887E}"/>
            </a:ext>
          </a:extLst>
        </xdr:cNvPr>
        <xdr:cNvSpPr txBox="1"/>
      </xdr:nvSpPr>
      <xdr:spPr>
        <a:xfrm>
          <a:off x="215383" y="2847432"/>
          <a:ext cx="1095163" cy="583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01DDAB-261B-4229-B509-981D89BE7046}" type="TxLink">
            <a:rPr lang="en-US"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pPr marL="0" indent="0"/>
            <a:t>4.0</a:t>
          </a:fld>
          <a:endParaRPr lang="en-IN"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215383</xdr:colOff>
      <xdr:row>19</xdr:row>
      <xdr:rowOff>58591</xdr:rowOff>
    </xdr:from>
    <xdr:to>
      <xdr:col>1</xdr:col>
      <xdr:colOff>1036568</xdr:colOff>
      <xdr:row>22</xdr:row>
      <xdr:rowOff>102977</xdr:rowOff>
    </xdr:to>
    <xdr:sp macro="" textlink="Trends!K5">
      <xdr:nvSpPr>
        <xdr:cNvPr id="28" name="TextBox 27">
          <a:extLst>
            <a:ext uri="{FF2B5EF4-FFF2-40B4-BE49-F238E27FC236}">
              <a16:creationId xmlns:a16="http://schemas.microsoft.com/office/drawing/2014/main" id="{E7884552-8093-41CD-8F63-CE6788565485}"/>
            </a:ext>
          </a:extLst>
        </xdr:cNvPr>
        <xdr:cNvSpPr txBox="1"/>
      </xdr:nvSpPr>
      <xdr:spPr>
        <a:xfrm>
          <a:off x="215383" y="3474748"/>
          <a:ext cx="1095163" cy="583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8414F7-22C4-40F1-BDCA-3BAAD4EE7622}" type="TxLink">
            <a:rPr lang="en-US"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pPr marL="0" indent="0"/>
            <a:t>2.3</a:t>
          </a:fld>
          <a:endParaRPr lang="en-IN" sz="180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0</xdr:col>
      <xdr:colOff>215383</xdr:colOff>
      <xdr:row>4</xdr:row>
      <xdr:rowOff>70425</xdr:rowOff>
    </xdr:from>
    <xdr:to>
      <xdr:col>1</xdr:col>
      <xdr:colOff>1021773</xdr:colOff>
      <xdr:row>5</xdr:row>
      <xdr:rowOff>154743</xdr:rowOff>
    </xdr:to>
    <xdr:sp macro="" textlink="">
      <xdr:nvSpPr>
        <xdr:cNvPr id="4" name="TextBox 3">
          <a:extLst>
            <a:ext uri="{FF2B5EF4-FFF2-40B4-BE49-F238E27FC236}">
              <a16:creationId xmlns:a16="http://schemas.microsoft.com/office/drawing/2014/main" id="{F80B9FE0-0E3D-1154-952F-8BD99DAC972F}"/>
            </a:ext>
          </a:extLst>
        </xdr:cNvPr>
        <xdr:cNvSpPr txBox="1"/>
      </xdr:nvSpPr>
      <xdr:spPr>
        <a:xfrm>
          <a:off x="215383" y="789616"/>
          <a:ext cx="1080368" cy="264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🛒Orders</a:t>
          </a:r>
        </a:p>
      </xdr:txBody>
    </xdr:sp>
    <xdr:clientData/>
  </xdr:twoCellAnchor>
  <xdr:twoCellAnchor>
    <xdr:from>
      <xdr:col>0</xdr:col>
      <xdr:colOff>215383</xdr:colOff>
      <xdr:row>7</xdr:row>
      <xdr:rowOff>169375</xdr:rowOff>
    </xdr:from>
    <xdr:to>
      <xdr:col>1</xdr:col>
      <xdr:colOff>1021773</xdr:colOff>
      <xdr:row>9</xdr:row>
      <xdr:rowOff>62862</xdr:rowOff>
    </xdr:to>
    <xdr:sp macro="" textlink="">
      <xdr:nvSpPr>
        <xdr:cNvPr id="5" name="TextBox 4">
          <a:extLst>
            <a:ext uri="{FF2B5EF4-FFF2-40B4-BE49-F238E27FC236}">
              <a16:creationId xmlns:a16="http://schemas.microsoft.com/office/drawing/2014/main" id="{23147C92-F504-439D-A593-BA6A0FE59FCD}"/>
            </a:ext>
          </a:extLst>
        </xdr:cNvPr>
        <xdr:cNvSpPr txBox="1"/>
      </xdr:nvSpPr>
      <xdr:spPr>
        <a:xfrm>
          <a:off x="215383" y="1427959"/>
          <a:ext cx="1080368" cy="25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👚Quantity</a:t>
          </a:r>
        </a:p>
      </xdr:txBody>
    </xdr:sp>
    <xdr:clientData/>
  </xdr:twoCellAnchor>
  <xdr:twoCellAnchor>
    <xdr:from>
      <xdr:col>0</xdr:col>
      <xdr:colOff>215383</xdr:colOff>
      <xdr:row>11</xdr:row>
      <xdr:rowOff>77493</xdr:rowOff>
    </xdr:from>
    <xdr:to>
      <xdr:col>1</xdr:col>
      <xdr:colOff>1021773</xdr:colOff>
      <xdr:row>12</xdr:row>
      <xdr:rowOff>161810</xdr:rowOff>
    </xdr:to>
    <xdr:sp macro="" textlink="">
      <xdr:nvSpPr>
        <xdr:cNvPr id="6" name="TextBox 5">
          <a:extLst>
            <a:ext uri="{FF2B5EF4-FFF2-40B4-BE49-F238E27FC236}">
              <a16:creationId xmlns:a16="http://schemas.microsoft.com/office/drawing/2014/main" id="{770B6449-B773-497E-BF7A-151408B1F99D}"/>
            </a:ext>
          </a:extLst>
        </xdr:cNvPr>
        <xdr:cNvSpPr txBox="1"/>
      </xdr:nvSpPr>
      <xdr:spPr>
        <a:xfrm>
          <a:off x="215383" y="2055268"/>
          <a:ext cx="1080368" cy="264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💰Amount</a:t>
          </a:r>
        </a:p>
      </xdr:txBody>
    </xdr:sp>
    <xdr:clientData/>
  </xdr:twoCellAnchor>
  <xdr:twoCellAnchor>
    <xdr:from>
      <xdr:col>0</xdr:col>
      <xdr:colOff>215383</xdr:colOff>
      <xdr:row>14</xdr:row>
      <xdr:rowOff>176442</xdr:rowOff>
    </xdr:from>
    <xdr:to>
      <xdr:col>1</xdr:col>
      <xdr:colOff>1021773</xdr:colOff>
      <xdr:row>16</xdr:row>
      <xdr:rowOff>69930</xdr:rowOff>
    </xdr:to>
    <xdr:sp macro="" textlink="">
      <xdr:nvSpPr>
        <xdr:cNvPr id="7" name="TextBox 6">
          <a:extLst>
            <a:ext uri="{FF2B5EF4-FFF2-40B4-BE49-F238E27FC236}">
              <a16:creationId xmlns:a16="http://schemas.microsoft.com/office/drawing/2014/main" id="{B4146A27-8A1B-43CD-BCA4-4FDEC67C0DB8}"/>
            </a:ext>
          </a:extLst>
        </xdr:cNvPr>
        <xdr:cNvSpPr txBox="1"/>
      </xdr:nvSpPr>
      <xdr:spPr>
        <a:xfrm>
          <a:off x="215383" y="2693611"/>
          <a:ext cx="1080368" cy="25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⭐Ratings</a:t>
          </a:r>
        </a:p>
      </xdr:txBody>
    </xdr:sp>
    <xdr:clientData/>
  </xdr:twoCellAnchor>
  <xdr:twoCellAnchor>
    <xdr:from>
      <xdr:col>0</xdr:col>
      <xdr:colOff>215383</xdr:colOff>
      <xdr:row>18</xdr:row>
      <xdr:rowOff>84560</xdr:rowOff>
    </xdr:from>
    <xdr:to>
      <xdr:col>1</xdr:col>
      <xdr:colOff>1347286</xdr:colOff>
      <xdr:row>19</xdr:row>
      <xdr:rowOff>168880</xdr:rowOff>
    </xdr:to>
    <xdr:sp macro="" textlink="">
      <xdr:nvSpPr>
        <xdr:cNvPr id="8" name="TextBox 7">
          <a:extLst>
            <a:ext uri="{FF2B5EF4-FFF2-40B4-BE49-F238E27FC236}">
              <a16:creationId xmlns:a16="http://schemas.microsoft.com/office/drawing/2014/main" id="{4AB5D03D-D624-4B6C-9A2B-B329273A6D09}"/>
            </a:ext>
          </a:extLst>
        </xdr:cNvPr>
        <xdr:cNvSpPr txBox="1"/>
      </xdr:nvSpPr>
      <xdr:spPr>
        <a:xfrm>
          <a:off x="215383" y="3320920"/>
          <a:ext cx="1405881" cy="26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🗓️Days of</a:t>
          </a:r>
          <a:r>
            <a:rPr lang="en-IN" sz="1050" b="1" i="0" u="none" strike="noStrike" baseline="0">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rPr>
            <a:t> Deliver</a:t>
          </a:r>
          <a:endParaRPr lang="en-IN" sz="1050" b="1" i="0" u="none" strike="noStrike">
            <a:gradFill>
              <a:gsLst>
                <a:gs pos="0">
                  <a:schemeClr val="bg1"/>
                </a:gs>
                <a:gs pos="80000">
                  <a:schemeClr val="bg1">
                    <a:lumMod val="75000"/>
                  </a:schemeClr>
                </a:gs>
              </a:gsLst>
              <a:lin ang="5400000" scaled="1"/>
            </a:gradFill>
            <a:effectLst>
              <a:outerShdw blurRad="50800" dist="38100" dir="2700000" algn="tl" rotWithShape="0">
                <a:prstClr val="black">
                  <a:alpha val="40000"/>
                </a:prstClr>
              </a:outerShdw>
            </a:effectLst>
            <a:latin typeface="Arial" panose="020B0604020202020204" pitchFamily="34" charset="0"/>
            <a:ea typeface="Calibri"/>
            <a:cs typeface="Arial" panose="020B0604020202020204" pitchFamily="34" charset="0"/>
          </a:endParaRPr>
        </a:p>
      </xdr:txBody>
    </xdr:sp>
    <xdr:clientData/>
  </xdr:twoCellAnchor>
  <xdr:twoCellAnchor>
    <xdr:from>
      <xdr:col>3</xdr:col>
      <xdr:colOff>459288</xdr:colOff>
      <xdr:row>0</xdr:row>
      <xdr:rowOff>104384</xdr:rowOff>
    </xdr:from>
    <xdr:to>
      <xdr:col>10</xdr:col>
      <xdr:colOff>584548</xdr:colOff>
      <xdr:row>11</xdr:row>
      <xdr:rowOff>135698</xdr:rowOff>
    </xdr:to>
    <xdr:graphicFrame macro="">
      <xdr:nvGraphicFramePr>
        <xdr:cNvPr id="10" name="Chart 9">
          <a:extLst>
            <a:ext uri="{FF2B5EF4-FFF2-40B4-BE49-F238E27FC236}">
              <a16:creationId xmlns:a16="http://schemas.microsoft.com/office/drawing/2014/main" id="{EFF208E1-FC5F-46DB-866C-5B140BE5C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125260</xdr:colOff>
      <xdr:row>0</xdr:row>
      <xdr:rowOff>95579</xdr:rowOff>
    </xdr:from>
    <xdr:to>
      <xdr:col>25</xdr:col>
      <xdr:colOff>386219</xdr:colOff>
      <xdr:row>11</xdr:row>
      <xdr:rowOff>146138</xdr:rowOff>
    </xdr:to>
    <xdr:graphicFrame macro="">
      <xdr:nvGraphicFramePr>
        <xdr:cNvPr id="19" name="Chart 18">
          <a:extLst>
            <a:ext uri="{FF2B5EF4-FFF2-40B4-BE49-F238E27FC236}">
              <a16:creationId xmlns:a16="http://schemas.microsoft.com/office/drawing/2014/main" id="{6083E6FC-2451-4075-AA0E-67ECCE89C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375781</xdr:colOff>
      <xdr:row>13</xdr:row>
      <xdr:rowOff>83507</xdr:rowOff>
    </xdr:from>
    <xdr:to>
      <xdr:col>10</xdr:col>
      <xdr:colOff>594986</xdr:colOff>
      <xdr:row>44</xdr:row>
      <xdr:rowOff>85618</xdr:rowOff>
    </xdr:to>
    <xdr:graphicFrame macro="">
      <xdr:nvGraphicFramePr>
        <xdr:cNvPr id="20" name="Chart 19">
          <a:extLst>
            <a:ext uri="{FF2B5EF4-FFF2-40B4-BE49-F238E27FC236}">
              <a16:creationId xmlns:a16="http://schemas.microsoft.com/office/drawing/2014/main" id="{CAF6DD66-9375-4E4C-92F5-8DB1119F2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153761</xdr:colOff>
      <xdr:row>31</xdr:row>
      <xdr:rowOff>103329</xdr:rowOff>
    </xdr:from>
    <xdr:to>
      <xdr:col>8</xdr:col>
      <xdr:colOff>521565</xdr:colOff>
      <xdr:row>41</xdr:row>
      <xdr:rowOff>124204</xdr:rowOff>
    </xdr:to>
    <xdr:graphicFrame macro="">
      <xdr:nvGraphicFramePr>
        <xdr:cNvPr id="22" name="Chart 21">
          <a:extLst>
            <a:ext uri="{FF2B5EF4-FFF2-40B4-BE49-F238E27FC236}">
              <a16:creationId xmlns:a16="http://schemas.microsoft.com/office/drawing/2014/main" id="{4AD753C7-E5DC-4AC2-8315-3872D4CED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156575</xdr:colOff>
      <xdr:row>13</xdr:row>
      <xdr:rowOff>114820</xdr:rowOff>
    </xdr:from>
    <xdr:to>
      <xdr:col>17</xdr:col>
      <xdr:colOff>365342</xdr:colOff>
      <xdr:row>44</xdr:row>
      <xdr:rowOff>102741</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B67029A0-B1EA-4204-B2E0-0AD8DC13A7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14575" y="2492260"/>
              <a:ext cx="3866367" cy="5657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177452</xdr:colOff>
      <xdr:row>0</xdr:row>
      <xdr:rowOff>125259</xdr:rowOff>
    </xdr:from>
    <xdr:to>
      <xdr:col>17</xdr:col>
      <xdr:colOff>386218</xdr:colOff>
      <xdr:row>11</xdr:row>
      <xdr:rowOff>125260</xdr:rowOff>
    </xdr:to>
    <xdr:sp macro="" textlink="">
      <xdr:nvSpPr>
        <xdr:cNvPr id="9" name="Rectangle 8">
          <a:extLst>
            <a:ext uri="{FF2B5EF4-FFF2-40B4-BE49-F238E27FC236}">
              <a16:creationId xmlns:a16="http://schemas.microsoft.com/office/drawing/2014/main" id="{97E0C703-7136-5C97-5D28-44EDC9D309C9}"/>
            </a:ext>
          </a:extLst>
        </xdr:cNvPr>
        <xdr:cNvSpPr/>
      </xdr:nvSpPr>
      <xdr:spPr>
        <a:xfrm>
          <a:off x="6993699" y="125259"/>
          <a:ext cx="3841314" cy="20667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17125</xdr:colOff>
      <xdr:row>19</xdr:row>
      <xdr:rowOff>130069</xdr:rowOff>
    </xdr:from>
    <xdr:to>
      <xdr:col>17</xdr:col>
      <xdr:colOff>49026</xdr:colOff>
      <xdr:row>28</xdr:row>
      <xdr:rowOff>128427</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0F3EC041-A619-46B1-90DD-DF1A0935A5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13525" y="3604789"/>
              <a:ext cx="1251101" cy="16442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11</xdr:col>
          <xdr:colOff>459289</xdr:colOff>
          <xdr:row>2</xdr:row>
          <xdr:rowOff>65448</xdr:rowOff>
        </xdr:from>
        <xdr:to>
          <xdr:col>16</xdr:col>
          <xdr:colOff>561046</xdr:colOff>
          <xdr:row>10</xdr:row>
          <xdr:rowOff>114822</xdr:rowOff>
        </xdr:to>
        <xdr:pic>
          <xdr:nvPicPr>
            <xdr:cNvPr id="13" name="Picture 12">
              <a:extLst>
                <a:ext uri="{FF2B5EF4-FFF2-40B4-BE49-F238E27FC236}">
                  <a16:creationId xmlns:a16="http://schemas.microsoft.com/office/drawing/2014/main" id="{2254E2AA-6246-4D57-3C8A-83F6764414DE}"/>
                </a:ext>
              </a:extLst>
            </xdr:cNvPr>
            <xdr:cNvPicPr>
              <a:picLocks noChangeAspect="1" noChangeArrowheads="1"/>
              <a:extLst>
                <a:ext uri="{84589F7E-364E-4C9E-8A38-B11213B215E9}">
                  <a14:cameraTool cellRange="heatmaps!$H$4:$L$9" spid="_x0000_s1152"/>
                </a:ext>
              </a:extLst>
            </xdr:cNvPicPr>
          </xdr:nvPicPr>
          <xdr:blipFill>
            <a:blip xmlns:r="http://schemas.openxmlformats.org/officeDocument/2006/relationships" r:embed="rId7"/>
            <a:srcRect/>
            <a:stretch>
              <a:fillRect/>
            </a:stretch>
          </xdr:blipFill>
          <xdr:spPr bwMode="auto">
            <a:xfrm>
              <a:off x="7275536" y="441229"/>
              <a:ext cx="3128880" cy="155249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125261</xdr:colOff>
      <xdr:row>13</xdr:row>
      <xdr:rowOff>93945</xdr:rowOff>
    </xdr:from>
    <xdr:to>
      <xdr:col>25</xdr:col>
      <xdr:colOff>365342</xdr:colOff>
      <xdr:row>29</xdr:row>
      <xdr:rowOff>34246</xdr:rowOff>
    </xdr:to>
    <xdr:graphicFrame macro="">
      <xdr:nvGraphicFramePr>
        <xdr:cNvPr id="14" name="Chart 13">
          <a:extLst>
            <a:ext uri="{FF2B5EF4-FFF2-40B4-BE49-F238E27FC236}">
              <a16:creationId xmlns:a16="http://schemas.microsoft.com/office/drawing/2014/main" id="{C9AFE8C2-1CD3-4D28-8C75-2EABE0A4F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164318</xdr:colOff>
      <xdr:row>30</xdr:row>
      <xdr:rowOff>17124</xdr:rowOff>
    </xdr:from>
    <xdr:to>
      <xdr:col>25</xdr:col>
      <xdr:colOff>414838</xdr:colOff>
      <xdr:row>44</xdr:row>
      <xdr:rowOff>87496</xdr:rowOff>
    </xdr:to>
    <xdr:graphicFrame macro="">
      <xdr:nvGraphicFramePr>
        <xdr:cNvPr id="18" name="Chart 17">
          <a:extLst>
            <a:ext uri="{FF2B5EF4-FFF2-40B4-BE49-F238E27FC236}">
              <a16:creationId xmlns:a16="http://schemas.microsoft.com/office/drawing/2014/main" id="{08F5C3EB-DF86-46DD-A69D-2E8E5692B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206890</xdr:colOff>
      <xdr:row>22</xdr:row>
      <xdr:rowOff>63452</xdr:rowOff>
    </xdr:from>
    <xdr:to>
      <xdr:col>1</xdr:col>
      <xdr:colOff>1375987</xdr:colOff>
      <xdr:row>33</xdr:row>
      <xdr:rowOff>43279</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7682080E-8499-45F2-92AF-890F9B5867F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6890" y="4019003"/>
              <a:ext cx="1443075" cy="1957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204383</xdr:colOff>
      <xdr:row>33</xdr:row>
      <xdr:rowOff>168890</xdr:rowOff>
    </xdr:from>
    <xdr:to>
      <xdr:col>1</xdr:col>
      <xdr:colOff>1377863</xdr:colOff>
      <xdr:row>44</xdr:row>
      <xdr:rowOff>68031</xdr:rowOff>
    </xdr:to>
    <mc:AlternateContent xmlns:mc="http://schemas.openxmlformats.org/markup-compatibility/2006" xmlns:a14="http://schemas.microsoft.com/office/drawing/2010/main">
      <mc:Choice Requires="a14">
        <xdr:graphicFrame macro="">
          <xdr:nvGraphicFramePr>
            <xdr:cNvPr id="27" name="Gender Value">
              <a:extLst>
                <a:ext uri="{FF2B5EF4-FFF2-40B4-BE49-F238E27FC236}">
                  <a16:creationId xmlns:a16="http://schemas.microsoft.com/office/drawing/2014/main" id="{C78CCA8F-86D8-4B10-A4DE-43AB34C9CED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04383" y="6102216"/>
              <a:ext cx="1447458" cy="187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448849</xdr:colOff>
      <xdr:row>0</xdr:row>
      <xdr:rowOff>135698</xdr:rowOff>
    </xdr:from>
    <xdr:to>
      <xdr:col>16</xdr:col>
      <xdr:colOff>407096</xdr:colOff>
      <xdr:row>2</xdr:row>
      <xdr:rowOff>135698</xdr:rowOff>
    </xdr:to>
    <xdr:sp macro="" textlink="">
      <xdr:nvSpPr>
        <xdr:cNvPr id="29" name="TextBox 28">
          <a:extLst>
            <a:ext uri="{FF2B5EF4-FFF2-40B4-BE49-F238E27FC236}">
              <a16:creationId xmlns:a16="http://schemas.microsoft.com/office/drawing/2014/main" id="{96A48F9E-932B-99D1-A4A6-D267CDBBB2F7}"/>
            </a:ext>
          </a:extLst>
        </xdr:cNvPr>
        <xdr:cNvSpPr txBox="1"/>
      </xdr:nvSpPr>
      <xdr:spPr>
        <a:xfrm>
          <a:off x="7870520" y="135698"/>
          <a:ext cx="2379946" cy="37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50000"/>
                </a:schemeClr>
              </a:solidFill>
              <a:latin typeface="Arial" panose="020B0604020202020204" pitchFamily="34" charset="0"/>
              <a:cs typeface="Arial" panose="020B0604020202020204" pitchFamily="34" charset="0"/>
            </a:rPr>
            <a:t>How they</a:t>
          </a:r>
          <a:r>
            <a:rPr lang="en-IN" sz="1400" b="1" baseline="0">
              <a:solidFill>
                <a:schemeClr val="bg2">
                  <a:lumMod val="50000"/>
                </a:schemeClr>
              </a:solidFill>
              <a:latin typeface="Arial" panose="020B0604020202020204" pitchFamily="34" charset="0"/>
              <a:cs typeface="Arial" panose="020B0604020202020204" pitchFamily="34" charset="0"/>
            </a:rPr>
            <a:t> like to buy?</a:t>
          </a:r>
          <a:endParaRPr lang="en-IN" sz="14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20407</xdr:colOff>
      <xdr:row>1</xdr:row>
      <xdr:rowOff>17124</xdr:rowOff>
    </xdr:from>
    <xdr:to>
      <xdr:col>1</xdr:col>
      <xdr:colOff>1327783</xdr:colOff>
      <xdr:row>3</xdr:row>
      <xdr:rowOff>18717</xdr:rowOff>
    </xdr:to>
    <xdr:pic>
      <xdr:nvPicPr>
        <xdr:cNvPr id="30" name="Picture 29">
          <a:extLst>
            <a:ext uri="{FF2B5EF4-FFF2-40B4-BE49-F238E27FC236}">
              <a16:creationId xmlns:a16="http://schemas.microsoft.com/office/drawing/2014/main" id="{380D337B-5B96-433B-8FC2-A4AF15FFCF7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94385" y="196922"/>
          <a:ext cx="1307376" cy="361188"/>
        </a:xfrm>
        <a:prstGeom prst="rect">
          <a:avLst/>
        </a:prstGeom>
      </xdr:spPr>
    </xdr:pic>
    <xdr:clientData/>
  </xdr:twoCellAnchor>
  <xdr:twoCellAnchor>
    <xdr:from>
      <xdr:col>0</xdr:col>
      <xdr:colOff>238205</xdr:colOff>
      <xdr:row>7</xdr:row>
      <xdr:rowOff>76002</xdr:rowOff>
    </xdr:from>
    <xdr:to>
      <xdr:col>1</xdr:col>
      <xdr:colOff>1386424</xdr:colOff>
      <xdr:row>7</xdr:row>
      <xdr:rowOff>86440</xdr:rowOff>
    </xdr:to>
    <xdr:cxnSp macro="">
      <xdr:nvCxnSpPr>
        <xdr:cNvPr id="12" name="Straight Connector 11">
          <a:extLst>
            <a:ext uri="{FF2B5EF4-FFF2-40B4-BE49-F238E27FC236}">
              <a16:creationId xmlns:a16="http://schemas.microsoft.com/office/drawing/2014/main" id="{5E548DB6-6F0A-15D7-9C0E-FD9136DF25E8}"/>
            </a:ext>
          </a:extLst>
        </xdr:cNvPr>
        <xdr:cNvCxnSpPr/>
      </xdr:nvCxnSpPr>
      <xdr:spPr>
        <a:xfrm flipV="1">
          <a:off x="238205" y="1334586"/>
          <a:ext cx="1422197" cy="10438"/>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238205</xdr:colOff>
      <xdr:row>10</xdr:row>
      <xdr:rowOff>163682</xdr:rowOff>
    </xdr:from>
    <xdr:to>
      <xdr:col>1</xdr:col>
      <xdr:colOff>1386424</xdr:colOff>
      <xdr:row>10</xdr:row>
      <xdr:rowOff>174120</xdr:rowOff>
    </xdr:to>
    <xdr:cxnSp macro="">
      <xdr:nvCxnSpPr>
        <xdr:cNvPr id="15" name="Straight Connector 14">
          <a:extLst>
            <a:ext uri="{FF2B5EF4-FFF2-40B4-BE49-F238E27FC236}">
              <a16:creationId xmlns:a16="http://schemas.microsoft.com/office/drawing/2014/main" id="{E04A8758-5A05-4833-8CFC-2ED9939C3323}"/>
            </a:ext>
          </a:extLst>
        </xdr:cNvPr>
        <xdr:cNvCxnSpPr/>
      </xdr:nvCxnSpPr>
      <xdr:spPr>
        <a:xfrm flipV="1">
          <a:off x="238205" y="1961660"/>
          <a:ext cx="1422197" cy="10438"/>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238205</xdr:colOff>
      <xdr:row>14</xdr:row>
      <xdr:rowOff>63474</xdr:rowOff>
    </xdr:from>
    <xdr:to>
      <xdr:col>1</xdr:col>
      <xdr:colOff>1386424</xdr:colOff>
      <xdr:row>14</xdr:row>
      <xdr:rowOff>73912</xdr:rowOff>
    </xdr:to>
    <xdr:cxnSp macro="">
      <xdr:nvCxnSpPr>
        <xdr:cNvPr id="33" name="Straight Connector 32">
          <a:extLst>
            <a:ext uri="{FF2B5EF4-FFF2-40B4-BE49-F238E27FC236}">
              <a16:creationId xmlns:a16="http://schemas.microsoft.com/office/drawing/2014/main" id="{BE025FBF-0BBE-42B7-A8CC-543D89F0E2A1}"/>
            </a:ext>
          </a:extLst>
        </xdr:cNvPr>
        <xdr:cNvCxnSpPr/>
      </xdr:nvCxnSpPr>
      <xdr:spPr>
        <a:xfrm flipV="1">
          <a:off x="238205" y="2580643"/>
          <a:ext cx="1422197" cy="10438"/>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238205</xdr:colOff>
      <xdr:row>17</xdr:row>
      <xdr:rowOff>151156</xdr:rowOff>
    </xdr:from>
    <xdr:to>
      <xdr:col>1</xdr:col>
      <xdr:colOff>1386424</xdr:colOff>
      <xdr:row>17</xdr:row>
      <xdr:rowOff>161594</xdr:rowOff>
    </xdr:to>
    <xdr:cxnSp macro="">
      <xdr:nvCxnSpPr>
        <xdr:cNvPr id="34" name="Straight Connector 33">
          <a:extLst>
            <a:ext uri="{FF2B5EF4-FFF2-40B4-BE49-F238E27FC236}">
              <a16:creationId xmlns:a16="http://schemas.microsoft.com/office/drawing/2014/main" id="{CA8FB287-8657-49EE-B6EF-B2511A21E6BE}"/>
            </a:ext>
          </a:extLst>
        </xdr:cNvPr>
        <xdr:cNvCxnSpPr/>
      </xdr:nvCxnSpPr>
      <xdr:spPr>
        <a:xfrm flipV="1">
          <a:off x="238205" y="3207718"/>
          <a:ext cx="1422197" cy="10438"/>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457200</xdr:colOff>
          <xdr:row>2</xdr:row>
          <xdr:rowOff>68580</xdr:rowOff>
        </xdr:from>
        <xdr:to>
          <xdr:col>16</xdr:col>
          <xdr:colOff>563880</xdr:colOff>
          <xdr:row>10</xdr:row>
          <xdr:rowOff>114300</xdr:rowOff>
        </xdr:to>
        <xdr:pic>
          <xdr:nvPicPr>
            <xdr:cNvPr id="1148" name="Picture 12">
              <a:extLst>
                <a:ext uri="{FF2B5EF4-FFF2-40B4-BE49-F238E27FC236}">
                  <a16:creationId xmlns:a16="http://schemas.microsoft.com/office/drawing/2014/main" id="{63A7A975-558E-078B-6525-0BAA600BA0F0}"/>
                </a:ext>
              </a:extLst>
            </xdr:cNvPr>
            <xdr:cNvPicPr>
              <a:picLocks noChangeAspect="1" noChangeArrowheads="1"/>
              <a:extLst>
                <a:ext uri="{84589F7E-364E-4C9E-8A38-B11213B215E9}">
                  <a14:cameraTool cellRange="heatmaps!$H$4:$L$9" spid="_x0000_s1153"/>
                </a:ext>
              </a:extLst>
            </xdr:cNvPicPr>
          </xdr:nvPicPr>
          <xdr:blipFill>
            <a:blip xmlns:r="http://schemas.openxmlformats.org/officeDocument/2006/relationships" r:embed="rId11"/>
            <a:srcRect/>
            <a:stretch>
              <a:fillRect/>
            </a:stretch>
          </xdr:blipFill>
          <xdr:spPr bwMode="auto">
            <a:xfrm>
              <a:off x="7315200" y="434340"/>
              <a:ext cx="3154680" cy="15087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Janvi" refreshedDate="46283.409042708336" createdVersion="8" refreshedVersion="8" minRefreshableVersion="3" recordCount="2400" xr:uid="{AC28294F-4905-40BC-B574-F6713DCB9BA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432182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73181-D483-4E10-B4E9-D2925F6AC608}" name="chart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C24" firstHeaderRow="0"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CA61C-F74C-425E-9DC3-E59C5002CB2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87F80-2CC1-48DF-AA6D-7864C735648C}" name="chart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F53862-EFE2-4952-A350-594BCEC96EEA}" name="chart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7A9B34-2F63-4900-B507-D769B89E0C92}" name="piechar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 chart="2" format="9">
      <pivotArea type="data" outline="0" fieldPosition="0">
        <references count="2">
          <reference field="4294967294" count="1" selected="0">
            <x v="0"/>
          </reference>
          <reference field="14" count="1" selected="0">
            <x v="2"/>
          </reference>
        </references>
      </pivotArea>
    </chartFormat>
    <chartFormat chart="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11886C-C655-46B7-8497-2B671CF09287}" name="chartmap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1CFAF0-723A-4183-BBA8-2D98F5E8E162}" name="heatmap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676000-C012-4F45-A19E-A79BE31F127C}" name="chart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6341D2-D045-484F-A3C7-244560575083}" name="chart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DA2DDF6-D4F5-45B4-8FCE-5E0A6944E489}" sourceName="Order Mode">
  <pivotTables>
    <pivotTable tabId="9" name="chart3"/>
    <pivotTable tabId="2" name="chart1"/>
    <pivotTable tabId="16" name="chartmaps"/>
    <pivotTable tabId="21" name="chart6"/>
    <pivotTable tabId="24" name="chart7"/>
    <pivotTable tabId="10" name="chart4"/>
  </pivotTables>
  <data>
    <tabular pivotCacheId="43218284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89AAEEC-B18B-44A6-B036-8BF8CE91AEA4}" sourceName="Gender Value">
  <pivotTables>
    <pivotTable tabId="9" name="chart3"/>
    <pivotTable tabId="2" name="chart1"/>
    <pivotTable tabId="16" name="chartmaps"/>
    <pivotTable tabId="21" name="chart6"/>
    <pivotTable tabId="24" name="chart7"/>
    <pivotTable tabId="10" name="chart4"/>
  </pivotTables>
  <data>
    <tabular pivotCacheId="43218284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CF6C3EC-F422-457F-84E3-65C966A15CC5}" cache="Slicer_Order_Mode" caption="Order Mode" style="SlicerStyleLight2" rowHeight="234950"/>
  <slicer name="Gender Value" xr10:uid="{E0C51B71-9C42-49F2-B348-5A0B54DABBBF}" cache="Slicer_Gender_Value" caption="Gender Valu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7ACD6-4891-4107-BD49-3055A7DFF45B}" name="orders" displayName="orders" ref="A1:O2401" totalsRowShown="0">
  <tableColumns count="15">
    <tableColumn id="1" xr3:uid="{90AC79D5-DD5A-4E10-8B37-5C604E4780E5}" name="TX ID"/>
    <tableColumn id="2" xr3:uid="{64CAEF00-9726-4383-96AD-DB72030F63C8}" name="Product"/>
    <tableColumn id="3" xr3:uid="{9C84079D-F2DE-4C28-8069-53C716177D7B}" name="Quantity"/>
    <tableColumn id="4" xr3:uid="{0B1EAB5A-1586-4EE5-A409-DF747315AB4D}" name="Unit Price"/>
    <tableColumn id="5" xr3:uid="{874FC04C-7329-4874-95F5-E070187C4C05}" name="Amount"/>
    <tableColumn id="6" xr3:uid="{C243FCC9-5284-47A9-BD64-16B1C4D816DC}" name="Order Date" dataDxfId="4"/>
    <tableColumn id="7" xr3:uid="{D9D9ABBA-7FB1-4656-90BF-5D6283AA2215}" name="Ship Date" dataDxfId="3"/>
    <tableColumn id="8" xr3:uid="{C5524F9E-05A8-4157-B5E2-E4830B426456}" name="Customer Gender"/>
    <tableColumn id="9" xr3:uid="{EB0E6110-0C44-4358-8016-3FCB0BCEAA8E}" name="Order Mode"/>
    <tableColumn id="10" xr3:uid="{5E1265CF-3669-470A-A76F-DB640544552F}" name="Rating C"/>
    <tableColumn id="15" xr3:uid="{D924DDB9-3A26-4376-9B42-EAD36156CCA7}" name="State"/>
    <tableColumn id="14" xr3:uid="{955945F5-9141-4E69-A4E8-17471F0FE9D9}" name="County"/>
    <tableColumn id="11" xr3:uid="{5AD7EF91-84FF-40E4-96A1-5EB100AFF349}" name="Days to Deliver" dataDxfId="2">
      <calculatedColumnFormula>orders[[#This Row],[Ship Date]]-orders[[#This Row],[Order Date]]</calculatedColumnFormula>
    </tableColumn>
    <tableColumn id="12" xr3:uid="{5A272BC6-DED2-4F36-BA02-5A838134C83E}" name="Weeknum" dataDxfId="1">
      <calculatedColumnFormula>WEEKNUM(orders[[#This Row],[Order Date]])</calculatedColumnFormula>
    </tableColumn>
    <tableColumn id="13" xr3:uid="{6EBE2AC9-9E3D-4911-9208-751C1590CB8C}"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9FBFAD"/>
      </a:accent1>
      <a:accent2>
        <a:srgbClr val="748C76"/>
      </a:accent2>
      <a:accent3>
        <a:srgbClr val="505947"/>
      </a:accent3>
      <a:accent4>
        <a:srgbClr val="BF7F5A"/>
      </a:accent4>
      <a:accent5>
        <a:srgbClr val="BF3939"/>
      </a:accent5>
      <a:accent6>
        <a:srgbClr val="4887E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6B1E-3805-4D15-84B6-A63EB4A2E591}">
  <dimension ref="A1:O2401"/>
  <sheetViews>
    <sheetView tabSelected="1" workbookViewId="0">
      <selection activeCell="H2" sqref="H2"/>
    </sheetView>
  </sheetViews>
  <sheetFormatPr defaultColWidth="13" defaultRowHeight="14.4" x14ac:dyDescent="0.3"/>
  <sheetData>
    <row r="1" spans="1:15" x14ac:dyDescent="0.3">
      <c r="A1" t="s">
        <v>0</v>
      </c>
      <c r="B1" t="s">
        <v>1</v>
      </c>
      <c r="C1" t="s">
        <v>2</v>
      </c>
      <c r="D1" t="s">
        <v>3</v>
      </c>
      <c r="E1" t="s">
        <v>4</v>
      </c>
      <c r="F1" t="s">
        <v>5</v>
      </c>
      <c r="G1" t="s">
        <v>6</v>
      </c>
      <c r="H1" t="s">
        <v>7</v>
      </c>
      <c r="I1" t="s">
        <v>8</v>
      </c>
      <c r="J1" t="s">
        <v>9</v>
      </c>
      <c r="K1" t="s">
        <v>10</v>
      </c>
      <c r="L1" t="s">
        <v>11</v>
      </c>
      <c r="M1" s="1" t="s">
        <v>12</v>
      </c>
      <c r="N1" s="1" t="s">
        <v>13</v>
      </c>
      <c r="O1" s="1" t="s">
        <v>14</v>
      </c>
    </row>
    <row r="2" spans="1:15" x14ac:dyDescent="0.3">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9608-4F56-484B-A852-1AD6D3F2974F}">
  <dimension ref="A8"/>
  <sheetViews>
    <sheetView topLeftCell="A13" zoomScale="89" zoomScaleNormal="50" workbookViewId="0">
      <selection activeCell="AB20" sqref="AB20"/>
    </sheetView>
  </sheetViews>
  <sheetFormatPr defaultRowHeight="14.4" x14ac:dyDescent="0.3"/>
  <cols>
    <col min="1" max="1" width="4" customWidth="1"/>
    <col min="2" max="2" width="20.88671875" customWidth="1"/>
    <col min="3" max="3" width="4" customWidth="1"/>
  </cols>
  <sheetData>
    <row r="8" customForma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2BF3-351C-4601-8499-8EDBB80ED337}">
  <dimension ref="A1:A17"/>
  <sheetViews>
    <sheetView zoomScale="153" workbookViewId="0">
      <selection activeCell="E10" sqref="E10"/>
    </sheetView>
  </sheetViews>
  <sheetFormatPr defaultRowHeight="14.4" x14ac:dyDescent="0.3"/>
  <sheetData>
    <row r="1" spans="1:1" x14ac:dyDescent="0.3">
      <c r="A1" s="12" t="s">
        <v>2503</v>
      </c>
    </row>
    <row r="2" spans="1:1" x14ac:dyDescent="0.3">
      <c r="A2" s="3" t="s">
        <v>2504</v>
      </c>
    </row>
    <row r="3" spans="1:1" x14ac:dyDescent="0.3">
      <c r="A3" s="3" t="s">
        <v>2505</v>
      </c>
    </row>
    <row r="4" spans="1:1" x14ac:dyDescent="0.3">
      <c r="A4" s="3" t="s">
        <v>2506</v>
      </c>
    </row>
    <row r="5" spans="1:1" x14ac:dyDescent="0.3">
      <c r="A5" s="3" t="s">
        <v>2507</v>
      </c>
    </row>
    <row r="6" spans="1:1" x14ac:dyDescent="0.3">
      <c r="A6" s="3" t="s">
        <v>2508</v>
      </c>
    </row>
    <row r="9" spans="1:1" x14ac:dyDescent="0.3">
      <c r="A9" s="12" t="s">
        <v>2509</v>
      </c>
    </row>
    <row r="10" spans="1:1" x14ac:dyDescent="0.3">
      <c r="A10" t="s">
        <v>2510</v>
      </c>
    </row>
    <row r="11" spans="1:1" x14ac:dyDescent="0.3">
      <c r="A11" t="s">
        <v>2511</v>
      </c>
    </row>
    <row r="12" spans="1:1" x14ac:dyDescent="0.3">
      <c r="A12" t="s">
        <v>2512</v>
      </c>
    </row>
    <row r="13" spans="1:1" x14ac:dyDescent="0.3">
      <c r="A13" t="s">
        <v>2513</v>
      </c>
    </row>
    <row r="14" spans="1:1" x14ac:dyDescent="0.3">
      <c r="A14" t="s">
        <v>2514</v>
      </c>
    </row>
    <row r="15" spans="1:1" x14ac:dyDescent="0.3">
      <c r="A15" t="s">
        <v>2515</v>
      </c>
    </row>
    <row r="16" spans="1:1" x14ac:dyDescent="0.3">
      <c r="A16" t="s">
        <v>2516</v>
      </c>
    </row>
    <row r="17" spans="1:1" x14ac:dyDescent="0.3">
      <c r="A17"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BB58-5B04-4F4A-B5D6-0F2BEA8064DF}">
  <dimension ref="A3:K24"/>
  <sheetViews>
    <sheetView topLeftCell="A6" zoomScale="132" workbookViewId="0">
      <selection activeCell="E14" sqref="E14"/>
    </sheetView>
  </sheetViews>
  <sheetFormatPr defaultRowHeight="14.4" x14ac:dyDescent="0.3"/>
  <cols>
    <col min="1" max="1" width="12.5546875" bestFit="1" customWidth="1"/>
    <col min="2" max="2" width="14.88671875" bestFit="1" customWidth="1"/>
    <col min="3" max="3" width="14.44140625" bestFit="1" customWidth="1"/>
    <col min="4" max="4" width="17.6640625" bestFit="1" customWidth="1"/>
    <col min="5" max="5" width="23.33203125" bestFit="1" customWidth="1"/>
  </cols>
  <sheetData>
    <row r="3" spans="1:11" x14ac:dyDescent="0.3">
      <c r="A3" t="s">
        <v>2519</v>
      </c>
      <c r="B3" t="s">
        <v>2518</v>
      </c>
      <c r="C3" t="s">
        <v>2520</v>
      </c>
      <c r="D3" t="s">
        <v>2521</v>
      </c>
      <c r="E3" t="s">
        <v>2522</v>
      </c>
      <c r="G3" t="s">
        <v>2523</v>
      </c>
    </row>
    <row r="4" spans="1:11" x14ac:dyDescent="0.3">
      <c r="A4">
        <v>2400</v>
      </c>
      <c r="B4">
        <v>11997</v>
      </c>
      <c r="C4">
        <v>649019.80000000144</v>
      </c>
      <c r="D4">
        <v>3.9620833333333332</v>
      </c>
      <c r="E4">
        <v>2.3424999999999998</v>
      </c>
      <c r="G4" t="s">
        <v>2524</v>
      </c>
      <c r="H4" t="s">
        <v>2</v>
      </c>
      <c r="I4" t="s">
        <v>4</v>
      </c>
      <c r="J4" t="s">
        <v>2525</v>
      </c>
      <c r="K4" t="s">
        <v>2526</v>
      </c>
    </row>
    <row r="5" spans="1:11" x14ac:dyDescent="0.3">
      <c r="G5" t="str">
        <f>TEXT(A4,"#,##")</f>
        <v>2,400</v>
      </c>
      <c r="H5" t="str">
        <f t="shared" ref="H5" si="0">TEXT(B4,"#,##")</f>
        <v>11,997</v>
      </c>
      <c r="I5" t="str">
        <f>TEXT(C4,"$#,##,.0K")</f>
        <v>$649.0K</v>
      </c>
      <c r="J5" t="str">
        <f>TEXT(D4,"0.0")</f>
        <v>4.0</v>
      </c>
      <c r="K5" t="str">
        <f>TEXT(E4,"0.0")</f>
        <v>2.3</v>
      </c>
    </row>
    <row r="8" spans="1:11" ht="21" x14ac:dyDescent="0.4">
      <c r="A8" s="9" t="s">
        <v>2540</v>
      </c>
    </row>
    <row r="10" spans="1:11" x14ac:dyDescent="0.3">
      <c r="A10" s="4" t="s">
        <v>2531</v>
      </c>
      <c r="B10" t="s">
        <v>2518</v>
      </c>
      <c r="C10" t="s">
        <v>2520</v>
      </c>
    </row>
    <row r="11" spans="1:11" x14ac:dyDescent="0.3">
      <c r="A11" s="5">
        <v>1</v>
      </c>
      <c r="B11">
        <v>546</v>
      </c>
      <c r="C11" s="6">
        <v>32413.300000000003</v>
      </c>
    </row>
    <row r="12" spans="1:11" x14ac:dyDescent="0.3">
      <c r="A12" s="5">
        <v>2</v>
      </c>
      <c r="B12">
        <v>905</v>
      </c>
      <c r="C12" s="6">
        <v>49562.999999999993</v>
      </c>
    </row>
    <row r="13" spans="1:11" x14ac:dyDescent="0.3">
      <c r="A13" s="5">
        <v>3</v>
      </c>
      <c r="B13">
        <v>796</v>
      </c>
      <c r="C13" s="6">
        <v>41700.400000000016</v>
      </c>
    </row>
    <row r="14" spans="1:11" x14ac:dyDescent="0.3">
      <c r="A14" s="5">
        <v>4</v>
      </c>
      <c r="B14">
        <v>913</v>
      </c>
      <c r="C14" s="6">
        <v>46782.599999999984</v>
      </c>
    </row>
    <row r="15" spans="1:11" x14ac:dyDescent="0.3">
      <c r="A15" s="5">
        <v>5</v>
      </c>
      <c r="B15">
        <v>844</v>
      </c>
      <c r="C15" s="6">
        <v>42676.100000000006</v>
      </c>
    </row>
    <row r="16" spans="1:11" x14ac:dyDescent="0.3">
      <c r="A16" s="5">
        <v>6</v>
      </c>
      <c r="B16">
        <v>1202</v>
      </c>
      <c r="C16" s="6">
        <v>62910.7</v>
      </c>
    </row>
    <row r="17" spans="1:3" x14ac:dyDescent="0.3">
      <c r="A17" s="5">
        <v>7</v>
      </c>
      <c r="B17">
        <v>935</v>
      </c>
      <c r="C17" s="6">
        <v>50332.200000000004</v>
      </c>
    </row>
    <row r="18" spans="1:3" x14ac:dyDescent="0.3">
      <c r="A18" s="5">
        <v>8</v>
      </c>
      <c r="B18">
        <v>1128</v>
      </c>
      <c r="C18" s="6">
        <v>58760.599999999977</v>
      </c>
    </row>
    <row r="19" spans="1:3" x14ac:dyDescent="0.3">
      <c r="A19" s="5">
        <v>9</v>
      </c>
      <c r="B19">
        <v>1007</v>
      </c>
      <c r="C19" s="6">
        <v>52017.299999999996</v>
      </c>
    </row>
    <row r="20" spans="1:3" x14ac:dyDescent="0.3">
      <c r="A20" s="5">
        <v>10</v>
      </c>
      <c r="B20">
        <v>1128</v>
      </c>
      <c r="C20" s="6">
        <v>64915.700000000033</v>
      </c>
    </row>
    <row r="21" spans="1:3" x14ac:dyDescent="0.3">
      <c r="A21" s="5">
        <v>11</v>
      </c>
      <c r="B21">
        <v>861</v>
      </c>
      <c r="C21" s="6">
        <v>45943.80000000001</v>
      </c>
    </row>
    <row r="22" spans="1:3" x14ac:dyDescent="0.3">
      <c r="A22" s="5">
        <v>12</v>
      </c>
      <c r="B22">
        <v>944</v>
      </c>
      <c r="C22" s="6">
        <v>55077.900000000031</v>
      </c>
    </row>
    <row r="23" spans="1:3" x14ac:dyDescent="0.3">
      <c r="A23" s="5">
        <v>13</v>
      </c>
      <c r="B23">
        <v>788</v>
      </c>
      <c r="C23" s="6">
        <v>45926.19999999999</v>
      </c>
    </row>
    <row r="24" spans="1:3" x14ac:dyDescent="0.3">
      <c r="A24" s="5" t="s">
        <v>2532</v>
      </c>
      <c r="B24">
        <v>11997</v>
      </c>
      <c r="C24" s="6">
        <v>649019.79999999993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8670-67CE-47C4-A16A-0D89D83F7A3F}">
  <dimension ref="A2:B11"/>
  <sheetViews>
    <sheetView zoomScale="93" workbookViewId="0">
      <selection activeCell="E8" sqref="E8"/>
    </sheetView>
  </sheetViews>
  <sheetFormatPr defaultRowHeight="14.4" x14ac:dyDescent="0.3"/>
  <cols>
    <col min="1" max="1" width="13" bestFit="1" customWidth="1"/>
    <col min="2" max="2" width="13.21875" bestFit="1" customWidth="1"/>
  </cols>
  <sheetData>
    <row r="2" spans="1:2" ht="23.4" x14ac:dyDescent="0.45">
      <c r="A2" s="10" t="s">
        <v>2512</v>
      </c>
    </row>
    <row r="3" spans="1:2" x14ac:dyDescent="0.3">
      <c r="A3" s="4" t="s">
        <v>2531</v>
      </c>
      <c r="B3" t="s">
        <v>2519</v>
      </c>
    </row>
    <row r="4" spans="1:2" x14ac:dyDescent="0.3">
      <c r="A4" s="5">
        <v>1</v>
      </c>
      <c r="B4">
        <v>397</v>
      </c>
    </row>
    <row r="5" spans="1:2" x14ac:dyDescent="0.3">
      <c r="A5" s="5">
        <v>2</v>
      </c>
      <c r="B5">
        <v>540</v>
      </c>
    </row>
    <row r="6" spans="1:2" x14ac:dyDescent="0.3">
      <c r="A6" s="5">
        <v>3</v>
      </c>
      <c r="B6">
        <v>375</v>
      </c>
    </row>
    <row r="7" spans="1:2" x14ac:dyDescent="0.3">
      <c r="A7" s="5">
        <v>4</v>
      </c>
      <c r="B7">
        <v>246</v>
      </c>
    </row>
    <row r="8" spans="1:2" x14ac:dyDescent="0.3">
      <c r="A8" s="5">
        <v>5</v>
      </c>
      <c r="B8">
        <v>195</v>
      </c>
    </row>
    <row r="9" spans="1:2" x14ac:dyDescent="0.3">
      <c r="A9" s="5" t="s">
        <v>2534</v>
      </c>
      <c r="B9">
        <v>414</v>
      </c>
    </row>
    <row r="10" spans="1:2" x14ac:dyDescent="0.3">
      <c r="A10" s="5" t="s">
        <v>2535</v>
      </c>
      <c r="B10">
        <v>233</v>
      </c>
    </row>
    <row r="11" spans="1:2" x14ac:dyDescent="0.3">
      <c r="A11" s="5" t="s">
        <v>2532</v>
      </c>
      <c r="B11">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D7A7E-6415-4F1C-86FE-FCCF789228E0}">
  <dimension ref="A2:F25"/>
  <sheetViews>
    <sheetView workbookViewId="0">
      <selection activeCell="A2" sqref="A2"/>
    </sheetView>
  </sheetViews>
  <sheetFormatPr defaultRowHeight="14.4" x14ac:dyDescent="0.3"/>
  <cols>
    <col min="1" max="1" width="19.44140625" bestFit="1" customWidth="1"/>
    <col min="2" max="2" width="15.5546875" bestFit="1" customWidth="1"/>
    <col min="3" max="3" width="5.21875" bestFit="1" customWidth="1"/>
    <col min="4" max="4" width="5.77734375" bestFit="1" customWidth="1"/>
    <col min="5" max="5" width="9.21875" bestFit="1" customWidth="1"/>
    <col min="6" max="6" width="10.77734375" bestFit="1" customWidth="1"/>
  </cols>
  <sheetData>
    <row r="2" spans="1:6" ht="23.4" x14ac:dyDescent="0.45">
      <c r="A2" s="10" t="s">
        <v>2513</v>
      </c>
    </row>
    <row r="3" spans="1:6" x14ac:dyDescent="0.3">
      <c r="A3" s="4" t="s">
        <v>2518</v>
      </c>
      <c r="B3" s="4" t="s">
        <v>2533</v>
      </c>
    </row>
    <row r="4" spans="1:6" x14ac:dyDescent="0.3">
      <c r="A4" s="4" t="s">
        <v>2531</v>
      </c>
      <c r="B4" t="s">
        <v>2529</v>
      </c>
      <c r="C4" t="s">
        <v>2528</v>
      </c>
      <c r="D4" t="s">
        <v>2530</v>
      </c>
      <c r="E4" t="s">
        <v>2527</v>
      </c>
      <c r="F4" t="s">
        <v>2532</v>
      </c>
    </row>
    <row r="5" spans="1:6" x14ac:dyDescent="0.3">
      <c r="A5" s="5" t="s">
        <v>44</v>
      </c>
      <c r="B5">
        <v>744</v>
      </c>
      <c r="C5">
        <v>713</v>
      </c>
      <c r="D5">
        <v>90</v>
      </c>
      <c r="E5">
        <v>98</v>
      </c>
      <c r="F5">
        <v>1645</v>
      </c>
    </row>
    <row r="6" spans="1:6" x14ac:dyDescent="0.3">
      <c r="A6" s="5" t="s">
        <v>39</v>
      </c>
      <c r="B6">
        <v>716</v>
      </c>
      <c r="C6">
        <v>598</v>
      </c>
      <c r="D6">
        <v>18</v>
      </c>
      <c r="E6">
        <v>214</v>
      </c>
      <c r="F6">
        <v>1546</v>
      </c>
    </row>
    <row r="7" spans="1:6" x14ac:dyDescent="0.3">
      <c r="A7" s="5" t="s">
        <v>26</v>
      </c>
      <c r="B7">
        <v>627</v>
      </c>
      <c r="C7">
        <v>393</v>
      </c>
      <c r="D7">
        <v>29</v>
      </c>
      <c r="E7">
        <v>137</v>
      </c>
      <c r="F7">
        <v>1186</v>
      </c>
    </row>
    <row r="8" spans="1:6" x14ac:dyDescent="0.3">
      <c r="A8" s="5" t="s">
        <v>22</v>
      </c>
      <c r="B8">
        <v>568</v>
      </c>
      <c r="C8">
        <v>306</v>
      </c>
      <c r="D8">
        <v>22</v>
      </c>
      <c r="E8">
        <v>16</v>
      </c>
      <c r="F8">
        <v>912</v>
      </c>
    </row>
    <row r="9" spans="1:6" x14ac:dyDescent="0.3">
      <c r="A9" s="5" t="s">
        <v>54</v>
      </c>
      <c r="B9">
        <v>482</v>
      </c>
      <c r="C9">
        <v>295</v>
      </c>
      <c r="D9">
        <v>8</v>
      </c>
      <c r="E9">
        <v>22</v>
      </c>
      <c r="F9">
        <v>807</v>
      </c>
    </row>
    <row r="10" spans="1:6" x14ac:dyDescent="0.3">
      <c r="A10" s="5" t="s">
        <v>16</v>
      </c>
      <c r="B10">
        <v>428</v>
      </c>
      <c r="C10">
        <v>293</v>
      </c>
      <c r="E10">
        <v>24</v>
      </c>
      <c r="F10">
        <v>745</v>
      </c>
    </row>
    <row r="11" spans="1:6" x14ac:dyDescent="0.3">
      <c r="A11" s="5" t="s">
        <v>46</v>
      </c>
      <c r="B11">
        <v>445</v>
      </c>
      <c r="C11">
        <v>202</v>
      </c>
      <c r="D11">
        <v>14</v>
      </c>
      <c r="E11">
        <v>39</v>
      </c>
      <c r="F11">
        <v>700</v>
      </c>
    </row>
    <row r="12" spans="1:6" x14ac:dyDescent="0.3">
      <c r="A12" s="5" t="s">
        <v>32</v>
      </c>
      <c r="B12">
        <v>431</v>
      </c>
      <c r="C12">
        <v>187</v>
      </c>
      <c r="D12">
        <v>14</v>
      </c>
      <c r="E12">
        <v>15</v>
      </c>
      <c r="F12">
        <v>647</v>
      </c>
    </row>
    <row r="13" spans="1:6" x14ac:dyDescent="0.3">
      <c r="A13" s="5" t="s">
        <v>42</v>
      </c>
      <c r="B13">
        <v>264</v>
      </c>
      <c r="C13">
        <v>318</v>
      </c>
      <c r="D13">
        <v>15</v>
      </c>
      <c r="E13">
        <v>9</v>
      </c>
      <c r="F13">
        <v>606</v>
      </c>
    </row>
    <row r="14" spans="1:6" x14ac:dyDescent="0.3">
      <c r="A14" s="5" t="s">
        <v>37</v>
      </c>
      <c r="B14">
        <v>296</v>
      </c>
      <c r="C14">
        <v>275</v>
      </c>
      <c r="D14">
        <v>9</v>
      </c>
      <c r="E14">
        <v>23</v>
      </c>
      <c r="F14">
        <v>603</v>
      </c>
    </row>
    <row r="15" spans="1:6" x14ac:dyDescent="0.3">
      <c r="A15" s="5" t="s">
        <v>123</v>
      </c>
      <c r="B15">
        <v>153</v>
      </c>
      <c r="C15">
        <v>246</v>
      </c>
      <c r="D15">
        <v>30</v>
      </c>
      <c r="E15">
        <v>8</v>
      </c>
      <c r="F15">
        <v>437</v>
      </c>
    </row>
    <row r="16" spans="1:6" x14ac:dyDescent="0.3">
      <c r="A16" s="5" t="s">
        <v>146</v>
      </c>
      <c r="B16">
        <v>189</v>
      </c>
      <c r="C16">
        <v>168</v>
      </c>
      <c r="D16">
        <v>10</v>
      </c>
      <c r="E16">
        <v>31</v>
      </c>
      <c r="F16">
        <v>398</v>
      </c>
    </row>
    <row r="17" spans="1:6" x14ac:dyDescent="0.3">
      <c r="A17" s="5" t="s">
        <v>69</v>
      </c>
      <c r="B17">
        <v>234</v>
      </c>
      <c r="C17">
        <v>93</v>
      </c>
      <c r="D17">
        <v>19</v>
      </c>
      <c r="E17">
        <v>24</v>
      </c>
      <c r="F17">
        <v>370</v>
      </c>
    </row>
    <row r="18" spans="1:6" x14ac:dyDescent="0.3">
      <c r="A18" s="5" t="s">
        <v>30</v>
      </c>
      <c r="B18">
        <v>146</v>
      </c>
      <c r="C18">
        <v>94</v>
      </c>
      <c r="D18">
        <v>4</v>
      </c>
      <c r="E18">
        <v>28</v>
      </c>
      <c r="F18">
        <v>272</v>
      </c>
    </row>
    <row r="19" spans="1:6" x14ac:dyDescent="0.3">
      <c r="A19" s="5" t="s">
        <v>135</v>
      </c>
      <c r="B19">
        <v>127</v>
      </c>
      <c r="C19">
        <v>118</v>
      </c>
      <c r="D19">
        <v>13</v>
      </c>
      <c r="E19">
        <v>12</v>
      </c>
      <c r="F19">
        <v>270</v>
      </c>
    </row>
    <row r="20" spans="1:6" x14ac:dyDescent="0.3">
      <c r="A20" s="5" t="s">
        <v>67</v>
      </c>
      <c r="B20">
        <v>179</v>
      </c>
      <c r="C20">
        <v>76</v>
      </c>
      <c r="D20">
        <v>3</v>
      </c>
      <c r="F20">
        <v>258</v>
      </c>
    </row>
    <row r="21" spans="1:6" x14ac:dyDescent="0.3">
      <c r="A21" s="5" t="s">
        <v>128</v>
      </c>
      <c r="B21">
        <v>99</v>
      </c>
      <c r="C21">
        <v>69</v>
      </c>
      <c r="D21">
        <v>3</v>
      </c>
      <c r="E21">
        <v>24</v>
      </c>
      <c r="F21">
        <v>195</v>
      </c>
    </row>
    <row r="22" spans="1:6" x14ac:dyDescent="0.3">
      <c r="A22" s="5" t="s">
        <v>76</v>
      </c>
      <c r="B22">
        <v>75</v>
      </c>
      <c r="C22">
        <v>103</v>
      </c>
      <c r="D22">
        <v>4</v>
      </c>
      <c r="E22">
        <v>6</v>
      </c>
      <c r="F22">
        <v>188</v>
      </c>
    </row>
    <row r="23" spans="1:6" x14ac:dyDescent="0.3">
      <c r="A23" s="5" t="s">
        <v>81</v>
      </c>
      <c r="B23">
        <v>43</v>
      </c>
      <c r="C23">
        <v>90</v>
      </c>
      <c r="D23">
        <v>8</v>
      </c>
      <c r="E23">
        <v>6</v>
      </c>
      <c r="F23">
        <v>147</v>
      </c>
    </row>
    <row r="24" spans="1:6" x14ac:dyDescent="0.3">
      <c r="A24" s="5" t="s">
        <v>171</v>
      </c>
      <c r="B24">
        <v>26</v>
      </c>
      <c r="C24">
        <v>35</v>
      </c>
      <c r="D24">
        <v>4</v>
      </c>
      <c r="F24">
        <v>65</v>
      </c>
    </row>
    <row r="25" spans="1:6" x14ac:dyDescent="0.3">
      <c r="A25" s="5" t="s">
        <v>2532</v>
      </c>
      <c r="B25">
        <v>6272</v>
      </c>
      <c r="C25">
        <v>4672</v>
      </c>
      <c r="D25">
        <v>317</v>
      </c>
      <c r="E25">
        <v>736</v>
      </c>
      <c r="F25">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7AC3-094F-45D2-A24F-391C1E7D9068}">
  <dimension ref="A2:B8"/>
  <sheetViews>
    <sheetView workbookViewId="0">
      <selection activeCell="C15" sqref="C14:C15"/>
    </sheetView>
  </sheetViews>
  <sheetFormatPr defaultRowHeight="14.4" x14ac:dyDescent="0.3"/>
  <cols>
    <col min="1" max="1" width="12.5546875" bestFit="1" customWidth="1"/>
    <col min="2" max="2" width="14.88671875" bestFit="1" customWidth="1"/>
    <col min="3" max="3" width="5.21875" bestFit="1" customWidth="1"/>
    <col min="4" max="4" width="5.77734375" bestFit="1" customWidth="1"/>
    <col min="5" max="5" width="9.21875" bestFit="1" customWidth="1"/>
    <col min="6" max="6" width="10.77734375" bestFit="1" customWidth="1"/>
    <col min="7" max="7" width="19.88671875" bestFit="1" customWidth="1"/>
    <col min="8" max="8" width="5.5546875" bestFit="1" customWidth="1"/>
    <col min="9" max="9" width="7.21875" bestFit="1" customWidth="1"/>
    <col min="10" max="10" width="8.21875" bestFit="1" customWidth="1"/>
    <col min="11" max="11" width="11.77734375" bestFit="1" customWidth="1"/>
    <col min="12" max="12" width="11.21875" bestFit="1" customWidth="1"/>
    <col min="13" max="13" width="7.44140625" bestFit="1" customWidth="1"/>
    <col min="14" max="14" width="6.33203125" bestFit="1" customWidth="1"/>
    <col min="15" max="15" width="8.5546875" bestFit="1" customWidth="1"/>
    <col min="16" max="16" width="10.33203125" bestFit="1" customWidth="1"/>
    <col min="17" max="17" width="10" bestFit="1" customWidth="1"/>
    <col min="18" max="18" width="9.5546875" bestFit="1" customWidth="1"/>
    <col min="19" max="19" width="9.109375" bestFit="1" customWidth="1"/>
    <col min="20" max="20" width="7.33203125" bestFit="1" customWidth="1"/>
    <col min="21" max="21" width="12.88671875" bestFit="1" customWidth="1"/>
    <col min="22" max="22" width="10.77734375" bestFit="1" customWidth="1"/>
  </cols>
  <sheetData>
    <row r="2" spans="1:2" ht="23.4" x14ac:dyDescent="0.45">
      <c r="A2" s="10" t="s">
        <v>2514</v>
      </c>
    </row>
    <row r="3" spans="1:2" x14ac:dyDescent="0.3">
      <c r="A3" s="4" t="s">
        <v>2531</v>
      </c>
      <c r="B3" t="s">
        <v>2518</v>
      </c>
    </row>
    <row r="4" spans="1:2" x14ac:dyDescent="0.3">
      <c r="A4" s="5" t="s">
        <v>2529</v>
      </c>
      <c r="B4">
        <v>6272</v>
      </c>
    </row>
    <row r="5" spans="1:2" x14ac:dyDescent="0.3">
      <c r="A5" s="5" t="s">
        <v>2528</v>
      </c>
      <c r="B5">
        <v>4672</v>
      </c>
    </row>
    <row r="6" spans="1:2" x14ac:dyDescent="0.3">
      <c r="A6" s="5" t="s">
        <v>2530</v>
      </c>
      <c r="B6">
        <v>317</v>
      </c>
    </row>
    <row r="7" spans="1:2" x14ac:dyDescent="0.3">
      <c r="A7" s="5" t="s">
        <v>2527</v>
      </c>
      <c r="B7">
        <v>736</v>
      </c>
    </row>
    <row r="8" spans="1:2" x14ac:dyDescent="0.3">
      <c r="A8" s="5" t="s">
        <v>2532</v>
      </c>
      <c r="B8">
        <v>11997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2722-2A69-455B-BAD3-45BAE6368CEE}">
  <dimension ref="A2:Q61"/>
  <sheetViews>
    <sheetView workbookViewId="0">
      <selection activeCell="A2" sqref="A2"/>
    </sheetView>
  </sheetViews>
  <sheetFormatPr defaultRowHeight="14.4" x14ac:dyDescent="0.3"/>
  <cols>
    <col min="1" max="1" width="24.109375" bestFit="1" customWidth="1"/>
    <col min="2" max="2" width="20" bestFit="1" customWidth="1"/>
    <col min="3" max="3" width="14.88671875" bestFit="1" customWidth="1"/>
    <col min="4" max="4" width="14.44140625" bestFit="1" customWidth="1"/>
    <col min="6" max="8" width="16.77734375" customWidth="1"/>
    <col min="11" max="11" width="8.88671875" customWidth="1"/>
    <col min="15" max="17" width="23.88671875" customWidth="1"/>
  </cols>
  <sheetData>
    <row r="2" spans="1:17" ht="25.8" x14ac:dyDescent="0.5">
      <c r="A2" s="11" t="s">
        <v>2515</v>
      </c>
    </row>
    <row r="3" spans="1:17" x14ac:dyDescent="0.3">
      <c r="A3" s="4" t="s">
        <v>10</v>
      </c>
      <c r="B3" s="4" t="s">
        <v>11</v>
      </c>
      <c r="C3" t="s">
        <v>2518</v>
      </c>
      <c r="D3" t="s">
        <v>2520</v>
      </c>
      <c r="F3" t="str">
        <f t="shared" ref="F3" si="0">A3</f>
        <v>State</v>
      </c>
      <c r="G3" t="str">
        <f t="shared" ref="G3" si="1">B3</f>
        <v>County</v>
      </c>
      <c r="H3" t="str">
        <f t="shared" ref="H3" si="2">C3</f>
        <v>Sum of Quantity</v>
      </c>
      <c r="O3" t="str">
        <f t="shared" ref="O3" si="3">A3</f>
        <v>State</v>
      </c>
      <c r="P3" t="str">
        <f t="shared" ref="P3" si="4">B3</f>
        <v>County</v>
      </c>
      <c r="Q3" t="str">
        <f t="shared" ref="Q3" si="5">D3</f>
        <v>Sum of Amount</v>
      </c>
    </row>
    <row r="4" spans="1:17" x14ac:dyDescent="0.3">
      <c r="A4" t="s">
        <v>19</v>
      </c>
      <c r="B4" t="s">
        <v>115</v>
      </c>
      <c r="C4">
        <v>579</v>
      </c>
      <c r="D4">
        <v>31884.999999999996</v>
      </c>
      <c r="F4" t="str">
        <f>IF(A4="","",A4)</f>
        <v>California</v>
      </c>
      <c r="G4" t="str">
        <f t="shared" ref="G4:H19" si="6">IF(B4="","",B4)</f>
        <v>Alameda County</v>
      </c>
      <c r="H4">
        <f t="shared" si="6"/>
        <v>579</v>
      </c>
      <c r="O4" t="str">
        <f>IF(A4="","",A4)</f>
        <v>California</v>
      </c>
      <c r="P4" t="str">
        <f t="shared" ref="P4:Q19" si="7">IF(B4="","",B4)</f>
        <v>Alameda County</v>
      </c>
      <c r="Q4">
        <f t="shared" si="7"/>
        <v>579</v>
      </c>
    </row>
    <row r="5" spans="1:17" x14ac:dyDescent="0.3">
      <c r="A5" t="s">
        <v>19</v>
      </c>
      <c r="B5" t="s">
        <v>20</v>
      </c>
      <c r="C5">
        <v>1</v>
      </c>
      <c r="D5">
        <v>10.9</v>
      </c>
      <c r="F5" t="str">
        <f t="shared" ref="F5:F61" si="8">IF(A5="","",A5)</f>
        <v>California</v>
      </c>
      <c r="G5" t="str">
        <f t="shared" si="6"/>
        <v>Alpine County</v>
      </c>
      <c r="H5">
        <f t="shared" si="6"/>
        <v>1</v>
      </c>
      <c r="O5" t="str">
        <f t="shared" ref="O5:O61" si="9">IF(A5="","",A5)</f>
        <v>California</v>
      </c>
      <c r="P5" t="str">
        <f t="shared" si="7"/>
        <v>Alpine County</v>
      </c>
      <c r="Q5">
        <f t="shared" si="7"/>
        <v>1</v>
      </c>
    </row>
    <row r="6" spans="1:17" x14ac:dyDescent="0.3">
      <c r="A6" t="s">
        <v>19</v>
      </c>
      <c r="B6" t="s">
        <v>641</v>
      </c>
      <c r="C6">
        <v>9</v>
      </c>
      <c r="D6">
        <v>800.3</v>
      </c>
      <c r="F6" t="str">
        <f t="shared" si="8"/>
        <v>California</v>
      </c>
      <c r="G6" t="str">
        <f t="shared" si="6"/>
        <v>Amador County</v>
      </c>
      <c r="H6">
        <f t="shared" si="6"/>
        <v>9</v>
      </c>
      <c r="O6" t="str">
        <f t="shared" si="9"/>
        <v>California</v>
      </c>
      <c r="P6" t="str">
        <f t="shared" si="7"/>
        <v>Amador County</v>
      </c>
      <c r="Q6">
        <f t="shared" si="7"/>
        <v>9</v>
      </c>
    </row>
    <row r="7" spans="1:17" x14ac:dyDescent="0.3">
      <c r="A7" t="s">
        <v>19</v>
      </c>
      <c r="B7" t="s">
        <v>967</v>
      </c>
      <c r="C7">
        <v>35</v>
      </c>
      <c r="D7">
        <v>1062.5999999999999</v>
      </c>
      <c r="F7" t="str">
        <f t="shared" si="8"/>
        <v>California</v>
      </c>
      <c r="G7" t="str">
        <f t="shared" si="6"/>
        <v>Butte County</v>
      </c>
      <c r="H7">
        <f t="shared" si="6"/>
        <v>35</v>
      </c>
      <c r="O7" t="str">
        <f t="shared" si="9"/>
        <v>California</v>
      </c>
      <c r="P7" t="str">
        <f t="shared" si="7"/>
        <v>Butte County</v>
      </c>
      <c r="Q7">
        <f t="shared" si="7"/>
        <v>35</v>
      </c>
    </row>
    <row r="8" spans="1:17" x14ac:dyDescent="0.3">
      <c r="A8" t="s">
        <v>19</v>
      </c>
      <c r="B8" t="s">
        <v>84</v>
      </c>
      <c r="C8">
        <v>12</v>
      </c>
      <c r="D8">
        <v>326.20000000000005</v>
      </c>
      <c r="F8" t="str">
        <f t="shared" si="8"/>
        <v>California</v>
      </c>
      <c r="G8" t="str">
        <f t="shared" si="6"/>
        <v>Calaveras County</v>
      </c>
      <c r="H8">
        <f t="shared" si="6"/>
        <v>12</v>
      </c>
      <c r="O8" t="str">
        <f t="shared" si="9"/>
        <v>California</v>
      </c>
      <c r="P8" t="str">
        <f t="shared" si="7"/>
        <v>Calaveras County</v>
      </c>
      <c r="Q8">
        <f t="shared" si="7"/>
        <v>12</v>
      </c>
    </row>
    <row r="9" spans="1:17" x14ac:dyDescent="0.3">
      <c r="A9" t="s">
        <v>19</v>
      </c>
      <c r="B9" t="s">
        <v>1383</v>
      </c>
      <c r="C9">
        <v>4</v>
      </c>
      <c r="D9">
        <v>167.5</v>
      </c>
      <c r="F9" t="str">
        <f t="shared" si="8"/>
        <v>California</v>
      </c>
      <c r="G9" t="str">
        <f t="shared" si="6"/>
        <v>Colusa County</v>
      </c>
      <c r="H9">
        <f t="shared" si="6"/>
        <v>4</v>
      </c>
      <c r="O9" t="str">
        <f t="shared" si="9"/>
        <v>California</v>
      </c>
      <c r="P9" t="str">
        <f t="shared" si="7"/>
        <v>Colusa County</v>
      </c>
      <c r="Q9">
        <f t="shared" si="7"/>
        <v>4</v>
      </c>
    </row>
    <row r="10" spans="1:17" x14ac:dyDescent="0.3">
      <c r="A10" t="s">
        <v>19</v>
      </c>
      <c r="B10" t="s">
        <v>24</v>
      </c>
      <c r="C10">
        <v>341</v>
      </c>
      <c r="D10">
        <v>16168.7</v>
      </c>
      <c r="F10" t="str">
        <f t="shared" si="8"/>
        <v>California</v>
      </c>
      <c r="G10" t="str">
        <f t="shared" si="6"/>
        <v>Contra Costa County</v>
      </c>
      <c r="H10">
        <f t="shared" si="6"/>
        <v>341</v>
      </c>
      <c r="O10" t="str">
        <f t="shared" si="9"/>
        <v>California</v>
      </c>
      <c r="P10" t="str">
        <f t="shared" si="7"/>
        <v>Contra Costa County</v>
      </c>
      <c r="Q10">
        <f t="shared" si="7"/>
        <v>341</v>
      </c>
    </row>
    <row r="11" spans="1:17" x14ac:dyDescent="0.3">
      <c r="A11" t="s">
        <v>19</v>
      </c>
      <c r="B11" t="s">
        <v>2204</v>
      </c>
      <c r="C11">
        <v>13</v>
      </c>
      <c r="D11">
        <v>322.40000000000003</v>
      </c>
      <c r="F11" t="str">
        <f t="shared" si="8"/>
        <v>California</v>
      </c>
      <c r="G11" t="str">
        <f t="shared" si="6"/>
        <v>Del Norte County</v>
      </c>
      <c r="H11">
        <f t="shared" si="6"/>
        <v>13</v>
      </c>
      <c r="O11" t="str">
        <f t="shared" si="9"/>
        <v>California</v>
      </c>
      <c r="P11" t="str">
        <f t="shared" si="7"/>
        <v>Del Norte County</v>
      </c>
      <c r="Q11">
        <f t="shared" si="7"/>
        <v>13</v>
      </c>
    </row>
    <row r="12" spans="1:17" x14ac:dyDescent="0.3">
      <c r="A12" t="s">
        <v>19</v>
      </c>
      <c r="B12" t="s">
        <v>437</v>
      </c>
      <c r="C12">
        <v>31</v>
      </c>
      <c r="D12">
        <v>2092.8000000000002</v>
      </c>
      <c r="F12" t="str">
        <f t="shared" si="8"/>
        <v>California</v>
      </c>
      <c r="G12" t="str">
        <f t="shared" si="6"/>
        <v>El Dorado County</v>
      </c>
      <c r="H12">
        <f t="shared" si="6"/>
        <v>31</v>
      </c>
      <c r="O12" t="str">
        <f t="shared" si="9"/>
        <v>California</v>
      </c>
      <c r="P12" t="str">
        <f t="shared" si="7"/>
        <v>El Dorado County</v>
      </c>
      <c r="Q12">
        <f t="shared" si="7"/>
        <v>31</v>
      </c>
    </row>
    <row r="13" spans="1:17" x14ac:dyDescent="0.3">
      <c r="A13" t="s">
        <v>19</v>
      </c>
      <c r="B13" t="s">
        <v>28</v>
      </c>
      <c r="C13">
        <v>279</v>
      </c>
      <c r="D13">
        <v>12662.500000000002</v>
      </c>
      <c r="F13" t="str">
        <f t="shared" si="8"/>
        <v>California</v>
      </c>
      <c r="G13" t="str">
        <f t="shared" si="6"/>
        <v>Fresno County</v>
      </c>
      <c r="H13">
        <f t="shared" si="6"/>
        <v>279</v>
      </c>
      <c r="O13" t="str">
        <f t="shared" si="9"/>
        <v>California</v>
      </c>
      <c r="P13" t="str">
        <f t="shared" si="7"/>
        <v>Fresno County</v>
      </c>
      <c r="Q13">
        <f t="shared" si="7"/>
        <v>279</v>
      </c>
    </row>
    <row r="14" spans="1:17" x14ac:dyDescent="0.3">
      <c r="A14" t="s">
        <v>19</v>
      </c>
      <c r="B14" t="s">
        <v>208</v>
      </c>
      <c r="C14">
        <v>9</v>
      </c>
      <c r="D14">
        <v>343.2</v>
      </c>
      <c r="F14" t="str">
        <f t="shared" si="8"/>
        <v>California</v>
      </c>
      <c r="G14" t="str">
        <f t="shared" si="6"/>
        <v>Glenn County</v>
      </c>
      <c r="H14">
        <f t="shared" si="6"/>
        <v>9</v>
      </c>
      <c r="O14" t="str">
        <f t="shared" si="9"/>
        <v>California</v>
      </c>
      <c r="P14" t="str">
        <f t="shared" si="7"/>
        <v>Glenn County</v>
      </c>
      <c r="Q14">
        <f t="shared" si="7"/>
        <v>9</v>
      </c>
    </row>
    <row r="15" spans="1:17" x14ac:dyDescent="0.3">
      <c r="A15" t="s">
        <v>19</v>
      </c>
      <c r="B15" t="s">
        <v>587</v>
      </c>
      <c r="C15">
        <v>49</v>
      </c>
      <c r="D15">
        <v>2188.2999999999997</v>
      </c>
      <c r="F15" t="str">
        <f t="shared" si="8"/>
        <v>California</v>
      </c>
      <c r="G15" t="str">
        <f t="shared" si="6"/>
        <v>Humboldt County</v>
      </c>
      <c r="H15">
        <f t="shared" si="6"/>
        <v>49</v>
      </c>
      <c r="O15" t="str">
        <f t="shared" si="9"/>
        <v>California</v>
      </c>
      <c r="P15" t="str">
        <f t="shared" si="7"/>
        <v>Humboldt County</v>
      </c>
      <c r="Q15">
        <f t="shared" si="7"/>
        <v>49</v>
      </c>
    </row>
    <row r="16" spans="1:17" x14ac:dyDescent="0.3">
      <c r="A16" t="s">
        <v>19</v>
      </c>
      <c r="B16" t="s">
        <v>331</v>
      </c>
      <c r="C16">
        <v>59</v>
      </c>
      <c r="D16">
        <v>2661.5999999999995</v>
      </c>
      <c r="F16" t="str">
        <f t="shared" si="8"/>
        <v>California</v>
      </c>
      <c r="G16" t="str">
        <f t="shared" si="6"/>
        <v>Imperial County</v>
      </c>
      <c r="H16">
        <f t="shared" si="6"/>
        <v>59</v>
      </c>
      <c r="O16" t="str">
        <f t="shared" si="9"/>
        <v>California</v>
      </c>
      <c r="P16" t="str">
        <f t="shared" si="7"/>
        <v>Imperial County</v>
      </c>
      <c r="Q16">
        <f t="shared" si="7"/>
        <v>59</v>
      </c>
    </row>
    <row r="17" spans="1:17" x14ac:dyDescent="0.3">
      <c r="A17" t="s">
        <v>19</v>
      </c>
      <c r="B17" t="s">
        <v>86</v>
      </c>
      <c r="C17">
        <v>8</v>
      </c>
      <c r="D17">
        <v>887.5</v>
      </c>
      <c r="F17" t="str">
        <f t="shared" si="8"/>
        <v>California</v>
      </c>
      <c r="G17" t="str">
        <f t="shared" si="6"/>
        <v>Inyo County</v>
      </c>
      <c r="H17">
        <f t="shared" si="6"/>
        <v>8</v>
      </c>
      <c r="O17" t="str">
        <f t="shared" si="9"/>
        <v>California</v>
      </c>
      <c r="P17" t="str">
        <f t="shared" si="7"/>
        <v>Inyo County</v>
      </c>
      <c r="Q17">
        <f t="shared" si="7"/>
        <v>8</v>
      </c>
    </row>
    <row r="18" spans="1:17" x14ac:dyDescent="0.3">
      <c r="A18" t="s">
        <v>19</v>
      </c>
      <c r="B18" t="s">
        <v>147</v>
      </c>
      <c r="C18">
        <v>222</v>
      </c>
      <c r="D18">
        <v>11354.199999999993</v>
      </c>
      <c r="F18" t="str">
        <f t="shared" si="8"/>
        <v>California</v>
      </c>
      <c r="G18" t="str">
        <f t="shared" si="6"/>
        <v>Kern County</v>
      </c>
      <c r="H18">
        <f t="shared" si="6"/>
        <v>222</v>
      </c>
      <c r="O18" t="str">
        <f t="shared" si="9"/>
        <v>California</v>
      </c>
      <c r="P18" t="str">
        <f t="shared" si="7"/>
        <v>Kern County</v>
      </c>
      <c r="Q18">
        <f t="shared" si="7"/>
        <v>222</v>
      </c>
    </row>
    <row r="19" spans="1:17" x14ac:dyDescent="0.3">
      <c r="A19" t="s">
        <v>19</v>
      </c>
      <c r="B19" t="s">
        <v>334</v>
      </c>
      <c r="C19">
        <v>36</v>
      </c>
      <c r="D19">
        <v>1558.4</v>
      </c>
      <c r="F19" t="str">
        <f t="shared" si="8"/>
        <v>California</v>
      </c>
      <c r="G19" t="str">
        <f t="shared" si="6"/>
        <v>Kings County</v>
      </c>
      <c r="H19">
        <f t="shared" si="6"/>
        <v>36</v>
      </c>
      <c r="O19" t="str">
        <f t="shared" si="9"/>
        <v>California</v>
      </c>
      <c r="P19" t="str">
        <f t="shared" si="7"/>
        <v>Kings County</v>
      </c>
      <c r="Q19">
        <f t="shared" si="7"/>
        <v>36</v>
      </c>
    </row>
    <row r="20" spans="1:17" x14ac:dyDescent="0.3">
      <c r="A20" t="s">
        <v>19</v>
      </c>
      <c r="B20" t="s">
        <v>949</v>
      </c>
      <c r="C20">
        <v>30</v>
      </c>
      <c r="D20">
        <v>2223.9</v>
      </c>
      <c r="F20" t="str">
        <f t="shared" si="8"/>
        <v>California</v>
      </c>
      <c r="G20" t="str">
        <f t="shared" ref="G20:G61" si="10">IF(B20="","",B20)</f>
        <v>Lake County</v>
      </c>
      <c r="H20">
        <f t="shared" ref="H20:H61" si="11">IF(C20="","",C20)</f>
        <v>30</v>
      </c>
      <c r="O20" t="str">
        <f t="shared" si="9"/>
        <v>California</v>
      </c>
      <c r="P20" t="str">
        <f t="shared" ref="P20:P61" si="12">IF(B20="","",B20)</f>
        <v>Lake County</v>
      </c>
      <c r="Q20">
        <f t="shared" ref="Q20:Q61" si="13">IF(C20="","",C20)</f>
        <v>30</v>
      </c>
    </row>
    <row r="21" spans="1:17" x14ac:dyDescent="0.3">
      <c r="A21" t="s">
        <v>19</v>
      </c>
      <c r="B21" t="s">
        <v>1426</v>
      </c>
      <c r="C21">
        <v>1</v>
      </c>
      <c r="D21">
        <v>26.2</v>
      </c>
      <c r="F21" t="str">
        <f t="shared" si="8"/>
        <v>California</v>
      </c>
      <c r="G21" t="str">
        <f t="shared" si="10"/>
        <v>Lassen County</v>
      </c>
      <c r="H21">
        <f t="shared" si="11"/>
        <v>1</v>
      </c>
      <c r="O21" t="str">
        <f t="shared" si="9"/>
        <v>California</v>
      </c>
      <c r="P21" t="str">
        <f t="shared" si="12"/>
        <v>Lassen County</v>
      </c>
      <c r="Q21">
        <f t="shared" si="13"/>
        <v>1</v>
      </c>
    </row>
    <row r="22" spans="1:17" x14ac:dyDescent="0.3">
      <c r="A22" t="s">
        <v>19</v>
      </c>
      <c r="B22" t="s">
        <v>33</v>
      </c>
      <c r="C22">
        <v>3991</v>
      </c>
      <c r="D22">
        <v>215551.19999999981</v>
      </c>
      <c r="F22" t="str">
        <f t="shared" si="8"/>
        <v>California</v>
      </c>
      <c r="G22" t="str">
        <f t="shared" si="10"/>
        <v>Los Angeles County</v>
      </c>
      <c r="H22">
        <f t="shared" si="11"/>
        <v>3991</v>
      </c>
      <c r="O22" t="str">
        <f t="shared" si="9"/>
        <v>California</v>
      </c>
      <c r="P22" t="str">
        <f t="shared" si="12"/>
        <v>Los Angeles County</v>
      </c>
      <c r="Q22">
        <f t="shared" si="13"/>
        <v>3991</v>
      </c>
    </row>
    <row r="23" spans="1:17" x14ac:dyDescent="0.3">
      <c r="A23" t="s">
        <v>19</v>
      </c>
      <c r="B23" t="s">
        <v>364</v>
      </c>
      <c r="C23">
        <v>45</v>
      </c>
      <c r="D23">
        <v>2687.3999999999996</v>
      </c>
      <c r="F23" t="str">
        <f t="shared" si="8"/>
        <v>California</v>
      </c>
      <c r="G23" t="str">
        <f t="shared" si="10"/>
        <v>Madera County</v>
      </c>
      <c r="H23">
        <f t="shared" si="11"/>
        <v>45</v>
      </c>
      <c r="O23" t="str">
        <f t="shared" si="9"/>
        <v>California</v>
      </c>
      <c r="P23" t="str">
        <f t="shared" si="12"/>
        <v>Madera County</v>
      </c>
      <c r="Q23">
        <f t="shared" si="13"/>
        <v>45</v>
      </c>
    </row>
    <row r="24" spans="1:17" x14ac:dyDescent="0.3">
      <c r="A24" t="s">
        <v>19</v>
      </c>
      <c r="B24" t="s">
        <v>545</v>
      </c>
      <c r="C24">
        <v>39</v>
      </c>
      <c r="D24">
        <v>1463.3000000000002</v>
      </c>
      <c r="F24" t="str">
        <f t="shared" si="8"/>
        <v>California</v>
      </c>
      <c r="G24" t="str">
        <f t="shared" si="10"/>
        <v>Marin County</v>
      </c>
      <c r="H24">
        <f t="shared" si="11"/>
        <v>39</v>
      </c>
      <c r="O24" t="str">
        <f t="shared" si="9"/>
        <v>California</v>
      </c>
      <c r="P24" t="str">
        <f t="shared" si="12"/>
        <v>Marin County</v>
      </c>
      <c r="Q24">
        <f t="shared" si="13"/>
        <v>39</v>
      </c>
    </row>
    <row r="25" spans="1:17" x14ac:dyDescent="0.3">
      <c r="A25" t="s">
        <v>19</v>
      </c>
      <c r="B25" t="s">
        <v>416</v>
      </c>
      <c r="C25">
        <v>6</v>
      </c>
      <c r="D25">
        <v>445.79999999999995</v>
      </c>
      <c r="F25" t="str">
        <f t="shared" si="8"/>
        <v>California</v>
      </c>
      <c r="G25" t="str">
        <f t="shared" si="10"/>
        <v>Mariposa County</v>
      </c>
      <c r="H25">
        <f t="shared" si="11"/>
        <v>6</v>
      </c>
      <c r="O25" t="str">
        <f t="shared" si="9"/>
        <v>California</v>
      </c>
      <c r="P25" t="str">
        <f t="shared" si="12"/>
        <v>Mariposa County</v>
      </c>
      <c r="Q25">
        <f t="shared" si="13"/>
        <v>6</v>
      </c>
    </row>
    <row r="26" spans="1:17" x14ac:dyDescent="0.3">
      <c r="A26" t="s">
        <v>19</v>
      </c>
      <c r="B26" t="s">
        <v>258</v>
      </c>
      <c r="C26">
        <v>9</v>
      </c>
      <c r="D26">
        <v>273.59999999999997</v>
      </c>
      <c r="F26" t="str">
        <f t="shared" si="8"/>
        <v>California</v>
      </c>
      <c r="G26" t="str">
        <f t="shared" si="10"/>
        <v>Mendocino County</v>
      </c>
      <c r="H26">
        <f t="shared" si="11"/>
        <v>9</v>
      </c>
      <c r="O26" t="str">
        <f t="shared" si="9"/>
        <v>California</v>
      </c>
      <c r="P26" t="str">
        <f t="shared" si="12"/>
        <v>Mendocino County</v>
      </c>
      <c r="Q26">
        <f t="shared" si="13"/>
        <v>9</v>
      </c>
    </row>
    <row r="27" spans="1:17" x14ac:dyDescent="0.3">
      <c r="A27" t="s">
        <v>19</v>
      </c>
      <c r="B27" t="s">
        <v>186</v>
      </c>
      <c r="C27">
        <v>60</v>
      </c>
      <c r="D27">
        <v>2690.4</v>
      </c>
      <c r="F27" t="str">
        <f t="shared" si="8"/>
        <v>California</v>
      </c>
      <c r="G27" t="str">
        <f t="shared" si="10"/>
        <v>Merced County</v>
      </c>
      <c r="H27">
        <f t="shared" si="11"/>
        <v>60</v>
      </c>
      <c r="O27" t="str">
        <f t="shared" si="9"/>
        <v>California</v>
      </c>
      <c r="P27" t="str">
        <f t="shared" si="12"/>
        <v>Merced County</v>
      </c>
      <c r="Q27">
        <f t="shared" si="13"/>
        <v>60</v>
      </c>
    </row>
    <row r="28" spans="1:17" x14ac:dyDescent="0.3">
      <c r="A28" t="s">
        <v>19</v>
      </c>
      <c r="B28" t="s">
        <v>392</v>
      </c>
      <c r="C28">
        <v>2</v>
      </c>
      <c r="D28">
        <v>28.4</v>
      </c>
      <c r="F28" t="str">
        <f t="shared" si="8"/>
        <v>California</v>
      </c>
      <c r="G28" t="str">
        <f t="shared" si="10"/>
        <v>Modoc County</v>
      </c>
      <c r="H28">
        <f t="shared" si="11"/>
        <v>2</v>
      </c>
      <c r="O28" t="str">
        <f t="shared" si="9"/>
        <v>California</v>
      </c>
      <c r="P28" t="str">
        <f t="shared" si="12"/>
        <v>Modoc County</v>
      </c>
      <c r="Q28">
        <f t="shared" si="13"/>
        <v>2</v>
      </c>
    </row>
    <row r="29" spans="1:17" x14ac:dyDescent="0.3">
      <c r="A29" t="s">
        <v>19</v>
      </c>
      <c r="B29" t="s">
        <v>670</v>
      </c>
      <c r="C29">
        <v>4</v>
      </c>
      <c r="D29">
        <v>204.8</v>
      </c>
      <c r="F29" t="str">
        <f t="shared" si="8"/>
        <v>California</v>
      </c>
      <c r="G29" t="str">
        <f t="shared" si="10"/>
        <v>Mono County</v>
      </c>
      <c r="H29">
        <f t="shared" si="11"/>
        <v>4</v>
      </c>
      <c r="O29" t="str">
        <f t="shared" si="9"/>
        <v>California</v>
      </c>
      <c r="P29" t="str">
        <f t="shared" si="12"/>
        <v>Mono County</v>
      </c>
      <c r="Q29">
        <f t="shared" si="13"/>
        <v>4</v>
      </c>
    </row>
    <row r="30" spans="1:17" x14ac:dyDescent="0.3">
      <c r="A30" t="s">
        <v>19</v>
      </c>
      <c r="B30" t="s">
        <v>802</v>
      </c>
      <c r="C30">
        <v>31</v>
      </c>
      <c r="D30">
        <v>1607.8999999999999</v>
      </c>
      <c r="F30" t="str">
        <f t="shared" si="8"/>
        <v>California</v>
      </c>
      <c r="G30" t="str">
        <f t="shared" si="10"/>
        <v>Monterey County</v>
      </c>
      <c r="H30">
        <f t="shared" si="11"/>
        <v>31</v>
      </c>
      <c r="O30" t="str">
        <f t="shared" si="9"/>
        <v>California</v>
      </c>
      <c r="P30" t="str">
        <f t="shared" si="12"/>
        <v>Monterey County</v>
      </c>
      <c r="Q30">
        <f t="shared" si="13"/>
        <v>31</v>
      </c>
    </row>
    <row r="31" spans="1:17" x14ac:dyDescent="0.3">
      <c r="A31" t="s">
        <v>19</v>
      </c>
      <c r="B31" t="s">
        <v>98</v>
      </c>
      <c r="C31">
        <v>88</v>
      </c>
      <c r="D31">
        <v>6444.9</v>
      </c>
      <c r="F31" t="str">
        <f t="shared" si="8"/>
        <v>California</v>
      </c>
      <c r="G31" t="str">
        <f t="shared" si="10"/>
        <v>Napa County</v>
      </c>
      <c r="H31">
        <f t="shared" si="11"/>
        <v>88</v>
      </c>
      <c r="O31" t="str">
        <f t="shared" si="9"/>
        <v>California</v>
      </c>
      <c r="P31" t="str">
        <f t="shared" si="12"/>
        <v>Napa County</v>
      </c>
      <c r="Q31">
        <f t="shared" si="13"/>
        <v>88</v>
      </c>
    </row>
    <row r="32" spans="1:17" x14ac:dyDescent="0.3">
      <c r="A32" t="s">
        <v>19</v>
      </c>
      <c r="B32" t="s">
        <v>49</v>
      </c>
      <c r="C32">
        <v>25</v>
      </c>
      <c r="D32">
        <v>1809.3</v>
      </c>
      <c r="F32" t="str">
        <f t="shared" si="8"/>
        <v>California</v>
      </c>
      <c r="G32" t="str">
        <f t="shared" si="10"/>
        <v>Nevada County</v>
      </c>
      <c r="H32">
        <f t="shared" si="11"/>
        <v>25</v>
      </c>
      <c r="O32" t="str">
        <f t="shared" si="9"/>
        <v>California</v>
      </c>
      <c r="P32" t="str">
        <f t="shared" si="12"/>
        <v>Nevada County</v>
      </c>
      <c r="Q32">
        <f t="shared" si="13"/>
        <v>25</v>
      </c>
    </row>
    <row r="33" spans="1:17" x14ac:dyDescent="0.3">
      <c r="A33" t="s">
        <v>19</v>
      </c>
      <c r="B33" t="s">
        <v>188</v>
      </c>
      <c r="C33">
        <v>178</v>
      </c>
      <c r="D33">
        <v>9680.399999999996</v>
      </c>
      <c r="F33" t="str">
        <f t="shared" si="8"/>
        <v>California</v>
      </c>
      <c r="G33" t="str">
        <f t="shared" si="10"/>
        <v>Orange County</v>
      </c>
      <c r="H33">
        <f t="shared" si="11"/>
        <v>178</v>
      </c>
      <c r="O33" t="str">
        <f t="shared" si="9"/>
        <v>California</v>
      </c>
      <c r="P33" t="str">
        <f t="shared" si="12"/>
        <v>Orange County</v>
      </c>
      <c r="Q33">
        <f t="shared" si="13"/>
        <v>178</v>
      </c>
    </row>
    <row r="34" spans="1:17" x14ac:dyDescent="0.3">
      <c r="A34" t="s">
        <v>19</v>
      </c>
      <c r="B34" t="s">
        <v>52</v>
      </c>
      <c r="C34">
        <v>141</v>
      </c>
      <c r="D34">
        <v>9414.7999999999993</v>
      </c>
      <c r="F34" t="str">
        <f t="shared" si="8"/>
        <v>California</v>
      </c>
      <c r="G34" t="str">
        <f t="shared" si="10"/>
        <v>Placer County</v>
      </c>
      <c r="H34">
        <f t="shared" si="11"/>
        <v>141</v>
      </c>
      <c r="O34" t="str">
        <f t="shared" si="9"/>
        <v>California</v>
      </c>
      <c r="P34" t="str">
        <f t="shared" si="12"/>
        <v>Placer County</v>
      </c>
      <c r="Q34">
        <f t="shared" si="13"/>
        <v>141</v>
      </c>
    </row>
    <row r="35" spans="1:17" x14ac:dyDescent="0.3">
      <c r="A35" t="s">
        <v>19</v>
      </c>
      <c r="B35" t="s">
        <v>338</v>
      </c>
      <c r="C35">
        <v>6</v>
      </c>
      <c r="D35">
        <v>206.1</v>
      </c>
      <c r="F35" t="str">
        <f t="shared" si="8"/>
        <v>California</v>
      </c>
      <c r="G35" t="str">
        <f t="shared" si="10"/>
        <v>Plumas County</v>
      </c>
      <c r="H35">
        <f t="shared" si="11"/>
        <v>6</v>
      </c>
      <c r="O35" t="str">
        <f t="shared" si="9"/>
        <v>California</v>
      </c>
      <c r="P35" t="str">
        <f t="shared" si="12"/>
        <v>Plumas County</v>
      </c>
      <c r="Q35">
        <f t="shared" si="13"/>
        <v>6</v>
      </c>
    </row>
    <row r="36" spans="1:17" x14ac:dyDescent="0.3">
      <c r="A36" t="s">
        <v>19</v>
      </c>
      <c r="B36" t="s">
        <v>158</v>
      </c>
      <c r="C36">
        <v>178</v>
      </c>
      <c r="D36">
        <v>7691.3</v>
      </c>
      <c r="F36" t="str">
        <f t="shared" si="8"/>
        <v>California</v>
      </c>
      <c r="G36" t="str">
        <f t="shared" si="10"/>
        <v>Riverside County</v>
      </c>
      <c r="H36">
        <f t="shared" si="11"/>
        <v>178</v>
      </c>
      <c r="O36" t="str">
        <f t="shared" si="9"/>
        <v>California</v>
      </c>
      <c r="P36" t="str">
        <f t="shared" si="12"/>
        <v>Riverside County</v>
      </c>
      <c r="Q36">
        <f t="shared" si="13"/>
        <v>178</v>
      </c>
    </row>
    <row r="37" spans="1:17" x14ac:dyDescent="0.3">
      <c r="A37" t="s">
        <v>19</v>
      </c>
      <c r="B37" t="s">
        <v>55</v>
      </c>
      <c r="C37">
        <v>699</v>
      </c>
      <c r="D37">
        <v>37784.900000000016</v>
      </c>
      <c r="F37" t="str">
        <f t="shared" si="8"/>
        <v>California</v>
      </c>
      <c r="G37" t="str">
        <f t="shared" si="10"/>
        <v>Sacramento County</v>
      </c>
      <c r="H37">
        <f t="shared" si="11"/>
        <v>699</v>
      </c>
      <c r="O37" t="str">
        <f t="shared" si="9"/>
        <v>California</v>
      </c>
      <c r="P37" t="str">
        <f t="shared" si="12"/>
        <v>Sacramento County</v>
      </c>
      <c r="Q37">
        <f t="shared" si="13"/>
        <v>699</v>
      </c>
    </row>
    <row r="38" spans="1:17" x14ac:dyDescent="0.3">
      <c r="A38" t="s">
        <v>19</v>
      </c>
      <c r="B38" t="s">
        <v>342</v>
      </c>
      <c r="C38">
        <v>23</v>
      </c>
      <c r="D38">
        <v>1129.7</v>
      </c>
      <c r="F38" t="str">
        <f t="shared" si="8"/>
        <v>California</v>
      </c>
      <c r="G38" t="str">
        <f t="shared" si="10"/>
        <v>San Benito County</v>
      </c>
      <c r="H38">
        <f t="shared" si="11"/>
        <v>23</v>
      </c>
      <c r="O38" t="str">
        <f t="shared" si="9"/>
        <v>California</v>
      </c>
      <c r="P38" t="str">
        <f t="shared" si="12"/>
        <v>San Benito County</v>
      </c>
      <c r="Q38">
        <f t="shared" si="13"/>
        <v>23</v>
      </c>
    </row>
    <row r="39" spans="1:17" x14ac:dyDescent="0.3">
      <c r="A39" t="s">
        <v>19</v>
      </c>
      <c r="B39" t="s">
        <v>59</v>
      </c>
      <c r="C39">
        <v>356</v>
      </c>
      <c r="D39">
        <v>20988.9</v>
      </c>
      <c r="F39" t="str">
        <f t="shared" si="8"/>
        <v>California</v>
      </c>
      <c r="G39" t="str">
        <f t="shared" si="10"/>
        <v>San Bernardino County</v>
      </c>
      <c r="H39">
        <f t="shared" si="11"/>
        <v>356</v>
      </c>
      <c r="O39" t="str">
        <f t="shared" si="9"/>
        <v>California</v>
      </c>
      <c r="P39" t="str">
        <f t="shared" si="12"/>
        <v>San Bernardino County</v>
      </c>
      <c r="Q39">
        <f t="shared" si="13"/>
        <v>356</v>
      </c>
    </row>
    <row r="40" spans="1:17" x14ac:dyDescent="0.3">
      <c r="A40" t="s">
        <v>19</v>
      </c>
      <c r="B40" t="s">
        <v>62</v>
      </c>
      <c r="C40">
        <v>1768</v>
      </c>
      <c r="D40">
        <v>98367.099999999977</v>
      </c>
      <c r="F40" t="str">
        <f t="shared" si="8"/>
        <v>California</v>
      </c>
      <c r="G40" t="str">
        <f t="shared" si="10"/>
        <v>San Diego County</v>
      </c>
      <c r="H40">
        <f t="shared" si="11"/>
        <v>1768</v>
      </c>
      <c r="O40" t="str">
        <f t="shared" si="9"/>
        <v>California</v>
      </c>
      <c r="P40" t="str">
        <f t="shared" si="12"/>
        <v>San Diego County</v>
      </c>
      <c r="Q40">
        <f t="shared" si="13"/>
        <v>1768</v>
      </c>
    </row>
    <row r="41" spans="1:17" x14ac:dyDescent="0.3">
      <c r="A41" t="s">
        <v>19</v>
      </c>
      <c r="B41" t="s">
        <v>103</v>
      </c>
      <c r="C41">
        <v>307</v>
      </c>
      <c r="D41">
        <v>21911.9</v>
      </c>
      <c r="F41" t="str">
        <f t="shared" si="8"/>
        <v>California</v>
      </c>
      <c r="G41" t="str">
        <f t="shared" si="10"/>
        <v>San Francisco</v>
      </c>
      <c r="H41">
        <f t="shared" si="11"/>
        <v>307</v>
      </c>
      <c r="O41" t="str">
        <f t="shared" si="9"/>
        <v>California</v>
      </c>
      <c r="P41" t="str">
        <f t="shared" si="12"/>
        <v>San Francisco</v>
      </c>
      <c r="Q41">
        <f t="shared" si="13"/>
        <v>307</v>
      </c>
    </row>
    <row r="42" spans="1:17" x14ac:dyDescent="0.3">
      <c r="A42" t="s">
        <v>19</v>
      </c>
      <c r="B42" t="s">
        <v>201</v>
      </c>
      <c r="C42">
        <v>117</v>
      </c>
      <c r="D42">
        <v>5441.2</v>
      </c>
      <c r="F42" t="str">
        <f t="shared" si="8"/>
        <v>California</v>
      </c>
      <c r="G42" t="str">
        <f t="shared" si="10"/>
        <v>San Joaquin County</v>
      </c>
      <c r="H42">
        <f t="shared" si="11"/>
        <v>117</v>
      </c>
      <c r="O42" t="str">
        <f t="shared" si="9"/>
        <v>California</v>
      </c>
      <c r="P42" t="str">
        <f t="shared" si="12"/>
        <v>San Joaquin County</v>
      </c>
      <c r="Q42">
        <f t="shared" si="13"/>
        <v>117</v>
      </c>
    </row>
    <row r="43" spans="1:17" x14ac:dyDescent="0.3">
      <c r="A43" t="s">
        <v>19</v>
      </c>
      <c r="B43" t="s">
        <v>429</v>
      </c>
      <c r="C43">
        <v>13</v>
      </c>
      <c r="D43">
        <v>392.8</v>
      </c>
      <c r="F43" t="str">
        <f t="shared" si="8"/>
        <v>California</v>
      </c>
      <c r="G43" t="str">
        <f t="shared" si="10"/>
        <v>San Luis Obispo County</v>
      </c>
      <c r="H43">
        <f t="shared" si="11"/>
        <v>13</v>
      </c>
      <c r="O43" t="str">
        <f t="shared" si="9"/>
        <v>California</v>
      </c>
      <c r="P43" t="str">
        <f t="shared" si="12"/>
        <v>San Luis Obispo County</v>
      </c>
      <c r="Q43">
        <f t="shared" si="13"/>
        <v>13</v>
      </c>
    </row>
    <row r="44" spans="1:17" x14ac:dyDescent="0.3">
      <c r="A44" t="s">
        <v>19</v>
      </c>
      <c r="B44" t="s">
        <v>72</v>
      </c>
      <c r="C44">
        <v>364</v>
      </c>
      <c r="D44">
        <v>16172.000000000005</v>
      </c>
      <c r="F44" t="str">
        <f t="shared" si="8"/>
        <v>California</v>
      </c>
      <c r="G44" t="str">
        <f t="shared" si="10"/>
        <v>San Mateo County</v>
      </c>
      <c r="H44">
        <f t="shared" si="11"/>
        <v>364</v>
      </c>
      <c r="O44" t="str">
        <f t="shared" si="9"/>
        <v>California</v>
      </c>
      <c r="P44" t="str">
        <f t="shared" si="12"/>
        <v>San Mateo County</v>
      </c>
      <c r="Q44">
        <f t="shared" si="13"/>
        <v>364</v>
      </c>
    </row>
    <row r="45" spans="1:17" x14ac:dyDescent="0.3">
      <c r="A45" t="s">
        <v>19</v>
      </c>
      <c r="B45" t="s">
        <v>74</v>
      </c>
      <c r="C45">
        <v>95</v>
      </c>
      <c r="D45">
        <v>4334.9999999999991</v>
      </c>
      <c r="F45" t="str">
        <f t="shared" si="8"/>
        <v>California</v>
      </c>
      <c r="G45" t="str">
        <f t="shared" si="10"/>
        <v>Santa Barbara County</v>
      </c>
      <c r="H45">
        <f t="shared" si="11"/>
        <v>95</v>
      </c>
      <c r="O45" t="str">
        <f t="shared" si="9"/>
        <v>California</v>
      </c>
      <c r="P45" t="str">
        <f t="shared" si="12"/>
        <v>Santa Barbara County</v>
      </c>
      <c r="Q45">
        <f t="shared" si="13"/>
        <v>95</v>
      </c>
    </row>
    <row r="46" spans="1:17" x14ac:dyDescent="0.3">
      <c r="A46" t="s">
        <v>19</v>
      </c>
      <c r="B46" t="s">
        <v>77</v>
      </c>
      <c r="C46">
        <v>737</v>
      </c>
      <c r="D46">
        <v>37449.000000000007</v>
      </c>
      <c r="F46" t="str">
        <f t="shared" si="8"/>
        <v>California</v>
      </c>
      <c r="G46" t="str">
        <f t="shared" si="10"/>
        <v>Santa Clara County</v>
      </c>
      <c r="H46">
        <f t="shared" si="11"/>
        <v>737</v>
      </c>
      <c r="O46" t="str">
        <f t="shared" si="9"/>
        <v>California</v>
      </c>
      <c r="P46" t="str">
        <f t="shared" si="12"/>
        <v>Santa Clara County</v>
      </c>
      <c r="Q46">
        <f t="shared" si="13"/>
        <v>737</v>
      </c>
    </row>
    <row r="47" spans="1:17" x14ac:dyDescent="0.3">
      <c r="A47" t="s">
        <v>19</v>
      </c>
      <c r="B47" t="s">
        <v>309</v>
      </c>
      <c r="C47">
        <v>39</v>
      </c>
      <c r="D47">
        <v>2447.5</v>
      </c>
      <c r="F47" t="str">
        <f t="shared" si="8"/>
        <v>California</v>
      </c>
      <c r="G47" t="str">
        <f t="shared" si="10"/>
        <v>Santa Cruz County</v>
      </c>
      <c r="H47">
        <f t="shared" si="11"/>
        <v>39</v>
      </c>
      <c r="O47" t="str">
        <f t="shared" si="9"/>
        <v>California</v>
      </c>
      <c r="P47" t="str">
        <f t="shared" si="12"/>
        <v>Santa Cruz County</v>
      </c>
      <c r="Q47">
        <f t="shared" si="13"/>
        <v>39</v>
      </c>
    </row>
    <row r="48" spans="1:17" x14ac:dyDescent="0.3">
      <c r="A48" t="s">
        <v>19</v>
      </c>
      <c r="B48" t="s">
        <v>1116</v>
      </c>
      <c r="C48">
        <v>56</v>
      </c>
      <c r="D48">
        <v>3391.1</v>
      </c>
      <c r="F48" t="str">
        <f t="shared" si="8"/>
        <v>California</v>
      </c>
      <c r="G48" t="str">
        <f t="shared" si="10"/>
        <v>Shasta County</v>
      </c>
      <c r="H48">
        <f t="shared" si="11"/>
        <v>56</v>
      </c>
      <c r="O48" t="str">
        <f t="shared" si="9"/>
        <v>California</v>
      </c>
      <c r="P48" t="str">
        <f t="shared" si="12"/>
        <v>Shasta County</v>
      </c>
      <c r="Q48">
        <f t="shared" si="13"/>
        <v>56</v>
      </c>
    </row>
    <row r="49" spans="1:17" x14ac:dyDescent="0.3">
      <c r="A49" t="s">
        <v>19</v>
      </c>
      <c r="B49" t="s">
        <v>700</v>
      </c>
      <c r="C49">
        <v>2</v>
      </c>
      <c r="D49">
        <v>30.8</v>
      </c>
      <c r="F49" t="str">
        <f t="shared" si="8"/>
        <v>California</v>
      </c>
      <c r="G49" t="str">
        <f t="shared" si="10"/>
        <v>Sierra County</v>
      </c>
      <c r="H49">
        <f t="shared" si="11"/>
        <v>2</v>
      </c>
      <c r="O49" t="str">
        <f t="shared" si="9"/>
        <v>California</v>
      </c>
      <c r="P49" t="str">
        <f t="shared" si="12"/>
        <v>Sierra County</v>
      </c>
      <c r="Q49">
        <f t="shared" si="13"/>
        <v>2</v>
      </c>
    </row>
    <row r="50" spans="1:17" x14ac:dyDescent="0.3">
      <c r="A50" t="s">
        <v>19</v>
      </c>
      <c r="B50" t="s">
        <v>268</v>
      </c>
      <c r="C50">
        <v>8</v>
      </c>
      <c r="D50">
        <v>332.3</v>
      </c>
      <c r="F50" t="str">
        <f t="shared" si="8"/>
        <v>California</v>
      </c>
      <c r="G50" t="str">
        <f t="shared" si="10"/>
        <v>Siskiyou County</v>
      </c>
      <c r="H50">
        <f t="shared" si="11"/>
        <v>8</v>
      </c>
      <c r="O50" t="str">
        <f t="shared" si="9"/>
        <v>California</v>
      </c>
      <c r="P50" t="str">
        <f t="shared" si="12"/>
        <v>Siskiyou County</v>
      </c>
      <c r="Q50">
        <f t="shared" si="13"/>
        <v>8</v>
      </c>
    </row>
    <row r="51" spans="1:17" x14ac:dyDescent="0.3">
      <c r="A51" t="s">
        <v>19</v>
      </c>
      <c r="B51" t="s">
        <v>377</v>
      </c>
      <c r="C51">
        <v>52</v>
      </c>
      <c r="D51">
        <v>3175.9999999999995</v>
      </c>
      <c r="F51" t="str">
        <f t="shared" si="8"/>
        <v>California</v>
      </c>
      <c r="G51" t="str">
        <f t="shared" si="10"/>
        <v>Solano County</v>
      </c>
      <c r="H51">
        <f t="shared" si="11"/>
        <v>52</v>
      </c>
      <c r="O51" t="str">
        <f t="shared" si="9"/>
        <v>California</v>
      </c>
      <c r="P51" t="str">
        <f t="shared" si="12"/>
        <v>Solano County</v>
      </c>
      <c r="Q51">
        <f t="shared" si="13"/>
        <v>52</v>
      </c>
    </row>
    <row r="52" spans="1:17" x14ac:dyDescent="0.3">
      <c r="A52" t="s">
        <v>19</v>
      </c>
      <c r="B52" t="s">
        <v>108</v>
      </c>
      <c r="C52">
        <v>295</v>
      </c>
      <c r="D52">
        <v>20939.600000000002</v>
      </c>
      <c r="F52" t="str">
        <f t="shared" si="8"/>
        <v>California</v>
      </c>
      <c r="G52" t="str">
        <f t="shared" si="10"/>
        <v>Sonoma County</v>
      </c>
      <c r="H52">
        <f t="shared" si="11"/>
        <v>295</v>
      </c>
      <c r="O52" t="str">
        <f t="shared" si="9"/>
        <v>California</v>
      </c>
      <c r="P52" t="str">
        <f t="shared" si="12"/>
        <v>Sonoma County</v>
      </c>
      <c r="Q52">
        <f t="shared" si="13"/>
        <v>295</v>
      </c>
    </row>
    <row r="53" spans="1:17" x14ac:dyDescent="0.3">
      <c r="A53" t="s">
        <v>19</v>
      </c>
      <c r="B53" t="s">
        <v>110</v>
      </c>
      <c r="C53">
        <v>195</v>
      </c>
      <c r="D53">
        <v>10185.899999999996</v>
      </c>
      <c r="F53" t="str">
        <f t="shared" si="8"/>
        <v>California</v>
      </c>
      <c r="G53" t="str">
        <f t="shared" si="10"/>
        <v>Stanislaus County</v>
      </c>
      <c r="H53">
        <f t="shared" si="11"/>
        <v>195</v>
      </c>
      <c r="O53" t="str">
        <f t="shared" si="9"/>
        <v>California</v>
      </c>
      <c r="P53" t="str">
        <f t="shared" si="12"/>
        <v>Stanislaus County</v>
      </c>
      <c r="Q53">
        <f t="shared" si="13"/>
        <v>195</v>
      </c>
    </row>
    <row r="54" spans="1:17" x14ac:dyDescent="0.3">
      <c r="A54" t="s">
        <v>19</v>
      </c>
      <c r="B54" t="s">
        <v>292</v>
      </c>
      <c r="C54">
        <v>20</v>
      </c>
      <c r="D54">
        <v>958.7</v>
      </c>
      <c r="F54" t="str">
        <f t="shared" si="8"/>
        <v>California</v>
      </c>
      <c r="G54" t="str">
        <f t="shared" si="10"/>
        <v>Sutter County</v>
      </c>
      <c r="H54">
        <f t="shared" si="11"/>
        <v>20</v>
      </c>
      <c r="O54" t="str">
        <f t="shared" si="9"/>
        <v>California</v>
      </c>
      <c r="P54" t="str">
        <f t="shared" si="12"/>
        <v>Sutter County</v>
      </c>
      <c r="Q54">
        <f t="shared" si="13"/>
        <v>20</v>
      </c>
    </row>
    <row r="55" spans="1:17" x14ac:dyDescent="0.3">
      <c r="A55" t="s">
        <v>19</v>
      </c>
      <c r="B55" t="s">
        <v>79</v>
      </c>
      <c r="C55">
        <v>6</v>
      </c>
      <c r="D55">
        <v>323</v>
      </c>
      <c r="F55" t="str">
        <f t="shared" si="8"/>
        <v>California</v>
      </c>
      <c r="G55" t="str">
        <f t="shared" si="10"/>
        <v>Tehama County</v>
      </c>
      <c r="H55">
        <f t="shared" si="11"/>
        <v>6</v>
      </c>
      <c r="O55" t="str">
        <f t="shared" si="9"/>
        <v>California</v>
      </c>
      <c r="P55" t="str">
        <f t="shared" si="12"/>
        <v>Tehama County</v>
      </c>
      <c r="Q55">
        <f t="shared" si="13"/>
        <v>6</v>
      </c>
    </row>
    <row r="56" spans="1:17" x14ac:dyDescent="0.3">
      <c r="A56" t="s">
        <v>19</v>
      </c>
      <c r="B56" t="s">
        <v>608</v>
      </c>
      <c r="C56">
        <v>5</v>
      </c>
      <c r="D56">
        <v>167.70000000000002</v>
      </c>
      <c r="F56" t="str">
        <f t="shared" si="8"/>
        <v>California</v>
      </c>
      <c r="G56" t="str">
        <f t="shared" si="10"/>
        <v>Trinity County</v>
      </c>
      <c r="H56">
        <f t="shared" si="11"/>
        <v>5</v>
      </c>
      <c r="O56" t="str">
        <f t="shared" si="9"/>
        <v>California</v>
      </c>
      <c r="P56" t="str">
        <f t="shared" si="12"/>
        <v>Trinity County</v>
      </c>
      <c r="Q56">
        <f t="shared" si="13"/>
        <v>5</v>
      </c>
    </row>
    <row r="57" spans="1:17" x14ac:dyDescent="0.3">
      <c r="A57" t="s">
        <v>19</v>
      </c>
      <c r="B57" t="s">
        <v>113</v>
      </c>
      <c r="C57">
        <v>94</v>
      </c>
      <c r="D57">
        <v>3978.5</v>
      </c>
      <c r="F57" t="str">
        <f t="shared" si="8"/>
        <v>California</v>
      </c>
      <c r="G57" t="str">
        <f t="shared" si="10"/>
        <v>Tulare County</v>
      </c>
      <c r="H57">
        <f t="shared" si="11"/>
        <v>94</v>
      </c>
      <c r="O57" t="str">
        <f t="shared" si="9"/>
        <v>California</v>
      </c>
      <c r="P57" t="str">
        <f t="shared" si="12"/>
        <v>Tulare County</v>
      </c>
      <c r="Q57">
        <f t="shared" si="13"/>
        <v>94</v>
      </c>
    </row>
    <row r="58" spans="1:17" x14ac:dyDescent="0.3">
      <c r="A58" t="s">
        <v>19</v>
      </c>
      <c r="B58" t="s">
        <v>997</v>
      </c>
      <c r="C58">
        <v>28</v>
      </c>
      <c r="D58">
        <v>1405</v>
      </c>
      <c r="F58" t="str">
        <f t="shared" si="8"/>
        <v>California</v>
      </c>
      <c r="G58" t="str">
        <f t="shared" si="10"/>
        <v>Tuolumne County</v>
      </c>
      <c r="H58">
        <f t="shared" si="11"/>
        <v>28</v>
      </c>
      <c r="O58" t="str">
        <f t="shared" si="9"/>
        <v>California</v>
      </c>
      <c r="P58" t="str">
        <f t="shared" si="12"/>
        <v>Tuolumne County</v>
      </c>
      <c r="Q58">
        <f t="shared" si="13"/>
        <v>28</v>
      </c>
    </row>
    <row r="59" spans="1:17" x14ac:dyDescent="0.3">
      <c r="A59" t="s">
        <v>19</v>
      </c>
      <c r="B59" t="s">
        <v>82</v>
      </c>
      <c r="C59">
        <v>179</v>
      </c>
      <c r="D59">
        <v>9869.0999999999985</v>
      </c>
      <c r="F59" t="str">
        <f t="shared" si="8"/>
        <v>California</v>
      </c>
      <c r="G59" t="str">
        <f t="shared" si="10"/>
        <v>Ventura County</v>
      </c>
      <c r="H59">
        <f t="shared" si="11"/>
        <v>179</v>
      </c>
      <c r="O59" t="str">
        <f t="shared" si="9"/>
        <v>California</v>
      </c>
      <c r="P59" t="str">
        <f t="shared" si="12"/>
        <v>Ventura County</v>
      </c>
      <c r="Q59">
        <f t="shared" si="13"/>
        <v>179</v>
      </c>
    </row>
    <row r="60" spans="1:17" x14ac:dyDescent="0.3">
      <c r="A60" t="s">
        <v>19</v>
      </c>
      <c r="B60" t="s">
        <v>243</v>
      </c>
      <c r="C60">
        <v>15</v>
      </c>
      <c r="D60">
        <v>615.29999999999995</v>
      </c>
      <c r="F60" t="str">
        <f t="shared" si="8"/>
        <v>California</v>
      </c>
      <c r="G60" t="str">
        <f t="shared" si="10"/>
        <v>Yolo County</v>
      </c>
      <c r="H60">
        <f t="shared" si="11"/>
        <v>15</v>
      </c>
      <c r="O60" t="str">
        <f t="shared" si="9"/>
        <v>California</v>
      </c>
      <c r="P60" t="str">
        <f t="shared" si="12"/>
        <v>Yolo County</v>
      </c>
      <c r="Q60">
        <f t="shared" si="13"/>
        <v>15</v>
      </c>
    </row>
    <row r="61" spans="1:17" x14ac:dyDescent="0.3">
      <c r="A61" t="s">
        <v>19</v>
      </c>
      <c r="B61" t="s">
        <v>1911</v>
      </c>
      <c r="C61">
        <v>3</v>
      </c>
      <c r="D61">
        <v>285</v>
      </c>
      <c r="F61" t="str">
        <f t="shared" si="8"/>
        <v>California</v>
      </c>
      <c r="G61" t="str">
        <f t="shared" si="10"/>
        <v>Yuba County</v>
      </c>
      <c r="H61">
        <f t="shared" si="11"/>
        <v>3</v>
      </c>
      <c r="O61" t="str">
        <f t="shared" si="9"/>
        <v>California</v>
      </c>
      <c r="P61" t="str">
        <f t="shared" si="12"/>
        <v>Yuba County</v>
      </c>
      <c r="Q61">
        <f t="shared" si="13"/>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AAE72-8922-4F3C-956E-8C2995875A97}">
  <dimension ref="A2:L10"/>
  <sheetViews>
    <sheetView topLeftCell="P1" workbookViewId="0">
      <selection activeCell="C23" sqref="C22:C23"/>
    </sheetView>
  </sheetViews>
  <sheetFormatPr defaultRowHeight="14.4" x14ac:dyDescent="0.3"/>
  <cols>
    <col min="1" max="1" width="14.44140625" bestFit="1" customWidth="1"/>
    <col min="2" max="2" width="15.5546875" bestFit="1" customWidth="1"/>
    <col min="3" max="3" width="7" bestFit="1" customWidth="1"/>
    <col min="4" max="4" width="6" bestFit="1" customWidth="1"/>
    <col min="5" max="5" width="9.21875" bestFit="1" customWidth="1"/>
    <col min="6" max="6" width="10.77734375" bestFit="1" customWidth="1"/>
    <col min="8" max="8" width="12.109375" customWidth="1"/>
  </cols>
  <sheetData>
    <row r="2" spans="1:12" ht="23.4" x14ac:dyDescent="0.45">
      <c r="A2" s="10" t="s">
        <v>2512</v>
      </c>
      <c r="H2" t="s">
        <v>2536</v>
      </c>
    </row>
    <row r="3" spans="1:12" x14ac:dyDescent="0.3">
      <c r="A3" s="4" t="s">
        <v>2520</v>
      </c>
      <c r="B3" s="4" t="s">
        <v>2533</v>
      </c>
    </row>
    <row r="4" spans="1:12" x14ac:dyDescent="0.3">
      <c r="A4" s="4" t="s">
        <v>2531</v>
      </c>
      <c r="B4" t="s">
        <v>2529</v>
      </c>
      <c r="C4" t="s">
        <v>2528</v>
      </c>
      <c r="D4" t="s">
        <v>2530</v>
      </c>
      <c r="E4" t="s">
        <v>2527</v>
      </c>
      <c r="F4" t="s">
        <v>2532</v>
      </c>
      <c r="I4" t="str">
        <f>B4</f>
        <v>Female</v>
      </c>
      <c r="J4" t="str">
        <f t="shared" ref="J4:L4" si="0">C4</f>
        <v>Male</v>
      </c>
      <c r="K4" t="str">
        <f t="shared" si="0"/>
        <v>Other</v>
      </c>
      <c r="L4" t="str">
        <f t="shared" si="0"/>
        <v>Unknown</v>
      </c>
    </row>
    <row r="5" spans="1:12" x14ac:dyDescent="0.3">
      <c r="A5" s="5" t="s">
        <v>18</v>
      </c>
      <c r="B5" s="7">
        <v>0.18961825201634841</v>
      </c>
      <c r="C5" s="7">
        <v>0.12262322351336576</v>
      </c>
      <c r="D5" s="7">
        <v>1.060537752469185E-2</v>
      </c>
      <c r="E5" s="7">
        <v>3.0599220547662797E-2</v>
      </c>
      <c r="F5" s="7">
        <v>0.35344607360206881</v>
      </c>
      <c r="H5" t="str">
        <f>A5</f>
        <v>App</v>
      </c>
      <c r="I5" s="8">
        <f t="shared" ref="I5:L5" si="1">B5</f>
        <v>0.18961825201634841</v>
      </c>
      <c r="J5" s="8">
        <f t="shared" si="1"/>
        <v>0.12262322351336576</v>
      </c>
      <c r="K5" s="8">
        <f t="shared" si="1"/>
        <v>1.060537752469185E-2</v>
      </c>
      <c r="L5" s="8">
        <f t="shared" si="1"/>
        <v>3.0599220547662797E-2</v>
      </c>
    </row>
    <row r="6" spans="1:12" x14ac:dyDescent="0.3">
      <c r="A6" s="5" t="s">
        <v>51</v>
      </c>
      <c r="B6" s="7">
        <v>5.0283982091147303E-2</v>
      </c>
      <c r="C6" s="7">
        <v>4.3060781812819873E-2</v>
      </c>
      <c r="D6" s="7">
        <v>1.5320025675641944E-3</v>
      </c>
      <c r="E6" s="7">
        <v>1.7794988689097006E-2</v>
      </c>
      <c r="F6" s="7">
        <v>0.11267175516062837</v>
      </c>
      <c r="H6" t="str">
        <f t="shared" ref="H6:H9" si="2">A6</f>
        <v>Instagram</v>
      </c>
      <c r="I6" s="8">
        <f t="shared" ref="I6:I9" si="3">B6</f>
        <v>5.0283982091147303E-2</v>
      </c>
      <c r="J6" s="8">
        <f t="shared" ref="J6:J9" si="4">C6</f>
        <v>4.3060781812819873E-2</v>
      </c>
      <c r="K6" s="8">
        <f t="shared" ref="K6:K9" si="5">D6</f>
        <v>1.5320025675641944E-3</v>
      </c>
      <c r="L6" s="8">
        <f t="shared" ref="L6:L9" si="6">E6</f>
        <v>1.7794988689097006E-2</v>
      </c>
    </row>
    <row r="7" spans="1:12" x14ac:dyDescent="0.3">
      <c r="A7" s="5" t="s">
        <v>70</v>
      </c>
      <c r="B7" s="7">
        <v>6.3496059750411282E-2</v>
      </c>
      <c r="C7" s="7">
        <v>4.6071629863988765E-2</v>
      </c>
      <c r="D7" s="7">
        <v>2.306247051322625E-3</v>
      </c>
      <c r="E7" s="7">
        <v>3.8927934093844286E-3</v>
      </c>
      <c r="F7" s="7">
        <v>0.11576673007510711</v>
      </c>
      <c r="H7" t="str">
        <f t="shared" si="2"/>
        <v>Partner App</v>
      </c>
      <c r="I7" s="8">
        <f t="shared" si="3"/>
        <v>6.3496059750411282E-2</v>
      </c>
      <c r="J7" s="8">
        <f t="shared" si="4"/>
        <v>4.6071629863988765E-2</v>
      </c>
      <c r="K7" s="8">
        <f t="shared" si="5"/>
        <v>2.306247051322625E-3</v>
      </c>
      <c r="L7" s="8">
        <f t="shared" si="6"/>
        <v>3.8927934093844286E-3</v>
      </c>
    </row>
    <row r="8" spans="1:12" x14ac:dyDescent="0.3">
      <c r="A8" s="5" t="s">
        <v>40</v>
      </c>
      <c r="B8" s="7">
        <v>9.6337892927149532E-2</v>
      </c>
      <c r="C8" s="7">
        <v>6.7920115842382611E-2</v>
      </c>
      <c r="D8" s="7">
        <v>5.4979832664581261E-3</v>
      </c>
      <c r="E8" s="7">
        <v>1.2933041488102518E-2</v>
      </c>
      <c r="F8" s="7">
        <v>0.1826890335240928</v>
      </c>
      <c r="H8" t="str">
        <f t="shared" si="2"/>
        <v>Target.com</v>
      </c>
      <c r="I8" s="8">
        <f t="shared" si="3"/>
        <v>9.6337892927149532E-2</v>
      </c>
      <c r="J8" s="8">
        <f t="shared" si="4"/>
        <v>6.7920115842382611E-2</v>
      </c>
      <c r="K8" s="8">
        <f t="shared" si="5"/>
        <v>5.4979832664581261E-3</v>
      </c>
      <c r="L8" s="8">
        <f t="shared" si="6"/>
        <v>1.2933041488102518E-2</v>
      </c>
    </row>
    <row r="9" spans="1:12" x14ac:dyDescent="0.3">
      <c r="A9" s="5" t="s">
        <v>35</v>
      </c>
      <c r="B9" s="7">
        <v>0.12522098709469262</v>
      </c>
      <c r="C9" s="7">
        <v>9.1492740283116228E-2</v>
      </c>
      <c r="D9" s="7">
        <v>6.3042760790965081E-3</v>
      </c>
      <c r="E9" s="7">
        <v>1.2408404181197551E-2</v>
      </c>
      <c r="F9" s="7">
        <v>0.23542640763810288</v>
      </c>
      <c r="H9" t="str">
        <f t="shared" si="2"/>
        <v>Website</v>
      </c>
      <c r="I9" s="8">
        <f t="shared" si="3"/>
        <v>0.12522098709469262</v>
      </c>
      <c r="J9" s="8">
        <f t="shared" si="4"/>
        <v>9.1492740283116228E-2</v>
      </c>
      <c r="K9" s="8">
        <f t="shared" si="5"/>
        <v>6.3042760790965081E-3</v>
      </c>
      <c r="L9" s="8">
        <f t="shared" si="6"/>
        <v>1.2408404181197551E-2</v>
      </c>
    </row>
    <row r="10" spans="1:12" x14ac:dyDescent="0.3">
      <c r="A10" s="5" t="s">
        <v>2532</v>
      </c>
      <c r="B10" s="7">
        <v>0.52495717387974916</v>
      </c>
      <c r="C10" s="7">
        <v>0.3711684913156732</v>
      </c>
      <c r="D10" s="7">
        <v>2.6245886489133303E-2</v>
      </c>
      <c r="E10" s="7">
        <v>7.7628448315444312E-2</v>
      </c>
      <c r="F10" s="7">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44FD-A20C-4812-8F5C-B2DAD4982DEA}">
  <dimension ref="A2:B19"/>
  <sheetViews>
    <sheetView workbookViewId="0">
      <selection activeCell="E9" sqref="E9"/>
    </sheetView>
  </sheetViews>
  <sheetFormatPr defaultRowHeight="14.4" x14ac:dyDescent="0.3"/>
  <cols>
    <col min="1" max="1" width="12.5546875" bestFit="1" customWidth="1"/>
    <col min="2" max="2" width="13.21875" bestFit="1" customWidth="1"/>
  </cols>
  <sheetData>
    <row r="2" spans="1:2" ht="21" x14ac:dyDescent="0.4">
      <c r="A2" s="9" t="s">
        <v>2516</v>
      </c>
    </row>
    <row r="3" spans="1:2" x14ac:dyDescent="0.3">
      <c r="A3" s="4" t="s">
        <v>2531</v>
      </c>
      <c r="B3" t="s">
        <v>2519</v>
      </c>
    </row>
    <row r="4" spans="1:2" x14ac:dyDescent="0.3">
      <c r="A4" s="5">
        <v>0</v>
      </c>
      <c r="B4">
        <v>175</v>
      </c>
    </row>
    <row r="5" spans="1:2" x14ac:dyDescent="0.3">
      <c r="A5" s="5">
        <v>1</v>
      </c>
      <c r="B5">
        <v>888</v>
      </c>
    </row>
    <row r="6" spans="1:2" x14ac:dyDescent="0.3">
      <c r="A6" s="5">
        <v>2</v>
      </c>
      <c r="B6">
        <v>538</v>
      </c>
    </row>
    <row r="7" spans="1:2" x14ac:dyDescent="0.3">
      <c r="A7" s="5">
        <v>3</v>
      </c>
      <c r="B7">
        <v>344</v>
      </c>
    </row>
    <row r="8" spans="1:2" x14ac:dyDescent="0.3">
      <c r="A8" s="5">
        <v>4</v>
      </c>
      <c r="B8">
        <v>200</v>
      </c>
    </row>
    <row r="9" spans="1:2" x14ac:dyDescent="0.3">
      <c r="A9" s="5">
        <v>5</v>
      </c>
      <c r="B9">
        <v>94</v>
      </c>
    </row>
    <row r="10" spans="1:2" x14ac:dyDescent="0.3">
      <c r="A10" s="5">
        <v>6</v>
      </c>
      <c r="B10">
        <v>51</v>
      </c>
    </row>
    <row r="11" spans="1:2" x14ac:dyDescent="0.3">
      <c r="A11" s="5">
        <v>7</v>
      </c>
      <c r="B11">
        <v>32</v>
      </c>
    </row>
    <row r="12" spans="1:2" x14ac:dyDescent="0.3">
      <c r="A12" s="5">
        <v>8</v>
      </c>
      <c r="B12">
        <v>23</v>
      </c>
    </row>
    <row r="13" spans="1:2" x14ac:dyDescent="0.3">
      <c r="A13" s="5">
        <v>9</v>
      </c>
      <c r="B13">
        <v>9</v>
      </c>
    </row>
    <row r="14" spans="1:2" x14ac:dyDescent="0.3">
      <c r="A14" s="5">
        <v>10</v>
      </c>
      <c r="B14">
        <v>8</v>
      </c>
    </row>
    <row r="15" spans="1:2" x14ac:dyDescent="0.3">
      <c r="A15" s="5">
        <v>11</v>
      </c>
      <c r="B15">
        <v>11</v>
      </c>
    </row>
    <row r="16" spans="1:2" x14ac:dyDescent="0.3">
      <c r="A16" s="5">
        <v>12</v>
      </c>
      <c r="B16">
        <v>4</v>
      </c>
    </row>
    <row r="17" spans="1:2" x14ac:dyDescent="0.3">
      <c r="A17" s="5">
        <v>13</v>
      </c>
      <c r="B17">
        <v>10</v>
      </c>
    </row>
    <row r="18" spans="1:2" x14ac:dyDescent="0.3">
      <c r="A18" s="5">
        <v>14</v>
      </c>
      <c r="B18">
        <v>13</v>
      </c>
    </row>
    <row r="19" spans="1:2" x14ac:dyDescent="0.3">
      <c r="A19" s="5" t="s">
        <v>2532</v>
      </c>
      <c r="B19">
        <v>2400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F165-5EA5-4691-9F60-0AC354CDAB9A}">
  <dimension ref="A2:G8"/>
  <sheetViews>
    <sheetView workbookViewId="0">
      <selection activeCell="G15" sqref="G14:G15"/>
    </sheetView>
  </sheetViews>
  <sheetFormatPr defaultRowHeight="14.4" x14ac:dyDescent="0.3"/>
  <cols>
    <col min="1" max="1" width="13.21875" bestFit="1" customWidth="1"/>
    <col min="2" max="2" width="15.5546875" bestFit="1" customWidth="1"/>
    <col min="3" max="4" width="4" bestFit="1" customWidth="1"/>
    <col min="5" max="5" width="5" bestFit="1" customWidth="1"/>
    <col min="6" max="6" width="4" bestFit="1" customWidth="1"/>
    <col min="7" max="7" width="10.77734375" bestFit="1" customWidth="1"/>
  </cols>
  <sheetData>
    <row r="2" spans="1:7" ht="23.4" x14ac:dyDescent="0.45">
      <c r="A2" s="10" t="s">
        <v>2517</v>
      </c>
    </row>
    <row r="3" spans="1:7" x14ac:dyDescent="0.3">
      <c r="A3" s="4" t="s">
        <v>2519</v>
      </c>
      <c r="B3" s="4" t="s">
        <v>2533</v>
      </c>
    </row>
    <row r="4" spans="1:7" x14ac:dyDescent="0.3">
      <c r="A4" s="4" t="s">
        <v>2531</v>
      </c>
      <c r="B4">
        <v>1</v>
      </c>
      <c r="C4">
        <v>2</v>
      </c>
      <c r="D4">
        <v>3</v>
      </c>
      <c r="E4">
        <v>4</v>
      </c>
      <c r="F4">
        <v>5</v>
      </c>
      <c r="G4" t="s">
        <v>2532</v>
      </c>
    </row>
    <row r="5" spans="1:7" x14ac:dyDescent="0.3">
      <c r="A5" s="5" t="s">
        <v>2537</v>
      </c>
      <c r="B5">
        <v>7</v>
      </c>
      <c r="C5">
        <v>37</v>
      </c>
      <c r="D5">
        <v>150</v>
      </c>
      <c r="E5">
        <v>312</v>
      </c>
      <c r="F5">
        <v>224</v>
      </c>
      <c r="G5">
        <v>730</v>
      </c>
    </row>
    <row r="6" spans="1:7" x14ac:dyDescent="0.3">
      <c r="A6" s="5" t="s">
        <v>2538</v>
      </c>
      <c r="B6">
        <v>8</v>
      </c>
      <c r="C6">
        <v>51</v>
      </c>
      <c r="D6">
        <v>182</v>
      </c>
      <c r="E6">
        <v>373</v>
      </c>
      <c r="F6">
        <v>247</v>
      </c>
      <c r="G6">
        <v>861</v>
      </c>
    </row>
    <row r="7" spans="1:7" x14ac:dyDescent="0.3">
      <c r="A7" s="5" t="s">
        <v>2539</v>
      </c>
      <c r="B7">
        <v>6</v>
      </c>
      <c r="C7">
        <v>39</v>
      </c>
      <c r="D7">
        <v>163</v>
      </c>
      <c r="E7">
        <v>351</v>
      </c>
      <c r="F7">
        <v>250</v>
      </c>
      <c r="G7">
        <v>809</v>
      </c>
    </row>
    <row r="8" spans="1:7" x14ac:dyDescent="0.3">
      <c r="A8" s="5" t="s">
        <v>2532</v>
      </c>
      <c r="B8">
        <v>21</v>
      </c>
      <c r="C8">
        <v>127</v>
      </c>
      <c r="D8">
        <v>495</v>
      </c>
      <c r="E8">
        <v>1036</v>
      </c>
      <c r="F8">
        <v>721</v>
      </c>
      <c r="G8">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Dashboard</vt:lpstr>
      <vt:lpstr>KPIS&amp;Questions</vt:lpstr>
      <vt:lpstr>Trends</vt:lpstr>
      <vt:lpstr>graph3</vt:lpstr>
      <vt:lpstr>productbyquantity</vt:lpstr>
      <vt:lpstr>Sheet1</vt:lpstr>
      <vt:lpstr>Sheet4</vt:lpstr>
      <vt:lpstr>heatmaps</vt:lpstr>
      <vt:lpstr>Sheet5</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JANVI</dc:creator>
  <cp:lastModifiedBy>R JANVI</cp:lastModifiedBy>
  <dcterms:created xsi:type="dcterms:W3CDTF">2026-09-18T04:17:14Z</dcterms:created>
  <dcterms:modified xsi:type="dcterms:W3CDTF">2026-10-03T14:01:31Z</dcterms:modified>
</cp:coreProperties>
</file>